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315" windowWidth="19320" windowHeight="11760"/>
  </bookViews>
  <sheets>
    <sheet name=" MN ALLOC" sheetId="1" r:id="rId1"/>
  </sheets>
  <calcPr calcId="125725" calcMode="manual" iterateDelta="252" calcOnSave="0"/>
</workbook>
</file>

<file path=xl/calcChain.xml><?xml version="1.0" encoding="utf-8"?>
<calcChain xmlns="http://schemas.openxmlformats.org/spreadsheetml/2006/main">
  <c r="AD373" i="1"/>
  <c r="AD372"/>
  <c r="AD371"/>
  <c r="AD370"/>
  <c r="AD369"/>
  <c r="AD368"/>
  <c r="AD367"/>
  <c r="AD366"/>
  <c r="AD365"/>
  <c r="AD364"/>
  <c r="AD363"/>
  <c r="AD362"/>
  <c r="AD361"/>
  <c r="AD360"/>
  <c r="AD359"/>
  <c r="AD358"/>
  <c r="AD357"/>
  <c r="AD356"/>
  <c r="AD355"/>
  <c r="AD354"/>
  <c r="AD353"/>
  <c r="AD352"/>
  <c r="AD351"/>
  <c r="AD350"/>
  <c r="AD349"/>
  <c r="AD348"/>
  <c r="AD347"/>
  <c r="AD346"/>
  <c r="AD345"/>
  <c r="AD344"/>
  <c r="AD343"/>
  <c r="AD342"/>
  <c r="AD341"/>
  <c r="AD340"/>
  <c r="AD339"/>
  <c r="AD338"/>
  <c r="AD337"/>
  <c r="AD336"/>
  <c r="AD335"/>
  <c r="AD334"/>
  <c r="AD333"/>
  <c r="AD332"/>
  <c r="AD331"/>
  <c r="AD330"/>
  <c r="AD329"/>
  <c r="AD328"/>
  <c r="AD327"/>
  <c r="AD326"/>
  <c r="AD325"/>
  <c r="AD324"/>
  <c r="AD323"/>
  <c r="AD322"/>
  <c r="AD321"/>
  <c r="AD320"/>
  <c r="AD319"/>
  <c r="AD318"/>
  <c r="AD317"/>
  <c r="AD316"/>
  <c r="AD315"/>
  <c r="AD314"/>
  <c r="AD313"/>
  <c r="AD312"/>
  <c r="AD311"/>
  <c r="AD310"/>
  <c r="AD309"/>
  <c r="AD308"/>
  <c r="AD307"/>
  <c r="AD306"/>
  <c r="AD305"/>
  <c r="AD304"/>
  <c r="AD303"/>
  <c r="AD302"/>
  <c r="AD301"/>
  <c r="AD300"/>
  <c r="AD299"/>
  <c r="AD298"/>
  <c r="AD297"/>
  <c r="AD296"/>
  <c r="AD295"/>
  <c r="AD294"/>
  <c r="AD293"/>
  <c r="AD292"/>
  <c r="AD291"/>
  <c r="AD290"/>
  <c r="AD289"/>
  <c r="AD288"/>
  <c r="AD287"/>
  <c r="AD286"/>
  <c r="AD285"/>
  <c r="AD284"/>
  <c r="AD283"/>
  <c r="AD282"/>
  <c r="AD281"/>
  <c r="AD280"/>
  <c r="AD279"/>
  <c r="AD278"/>
  <c r="AD277"/>
  <c r="AD276"/>
  <c r="AD275"/>
  <c r="AD274"/>
  <c r="AD273"/>
  <c r="AD272"/>
  <c r="AD271"/>
  <c r="AD270"/>
  <c r="AD269"/>
  <c r="AD268"/>
  <c r="AD267"/>
  <c r="AD266"/>
  <c r="AD265"/>
  <c r="AD264"/>
  <c r="AD263"/>
  <c r="AD262"/>
  <c r="AD261"/>
  <c r="AD260"/>
  <c r="AD259"/>
  <c r="AD258"/>
  <c r="AD257"/>
  <c r="AD256"/>
  <c r="AD255"/>
  <c r="AD254"/>
  <c r="AD253"/>
  <c r="AD252"/>
  <c r="AD251"/>
  <c r="AD250"/>
  <c r="AD249"/>
  <c r="AD248"/>
  <c r="AD247"/>
  <c r="AD246"/>
  <c r="AD245"/>
  <c r="AD244"/>
  <c r="AD243"/>
  <c r="AD242"/>
  <c r="AD241"/>
  <c r="AD240"/>
  <c r="AD239"/>
  <c r="AD238"/>
  <c r="AD237"/>
  <c r="AD236"/>
  <c r="AD235"/>
  <c r="AD234"/>
  <c r="AD233"/>
  <c r="AD232"/>
  <c r="AD231"/>
  <c r="AD230"/>
  <c r="AD229"/>
  <c r="AD228"/>
  <c r="AD227"/>
  <c r="AD226"/>
  <c r="AD225"/>
  <c r="AD224"/>
  <c r="AD223"/>
  <c r="AD222"/>
  <c r="AD221"/>
  <c r="AD220"/>
  <c r="AD219"/>
  <c r="AD218"/>
  <c r="AD217"/>
  <c r="AD216"/>
  <c r="AD215"/>
  <c r="AD214"/>
  <c r="AD213"/>
  <c r="AD212"/>
  <c r="AD211"/>
  <c r="AD210"/>
  <c r="AD209"/>
  <c r="AD208"/>
  <c r="AD207"/>
  <c r="AD206"/>
  <c r="AD205"/>
  <c r="AD204"/>
  <c r="AD203"/>
  <c r="AD202"/>
  <c r="AD201"/>
  <c r="AD200"/>
  <c r="AD199"/>
  <c r="AD198"/>
  <c r="AD197"/>
  <c r="AD196"/>
  <c r="AD195"/>
  <c r="AD194"/>
  <c r="AD193"/>
  <c r="AD192"/>
  <c r="AD191"/>
  <c r="AD190"/>
  <c r="AD189"/>
  <c r="AD188"/>
  <c r="AD187"/>
  <c r="AD186"/>
  <c r="AD185"/>
  <c r="AD184"/>
  <c r="AD183"/>
  <c r="AD182"/>
  <c r="AD181"/>
  <c r="AD180"/>
  <c r="AD179"/>
  <c r="AD178"/>
  <c r="AD177"/>
  <c r="AD176"/>
  <c r="AD175"/>
  <c r="AD174"/>
  <c r="AD173"/>
  <c r="AD172"/>
  <c r="AD171"/>
  <c r="AD170"/>
  <c r="AD169"/>
  <c r="AD168"/>
  <c r="AD167"/>
  <c r="AD166"/>
  <c r="AD165"/>
  <c r="AD164"/>
  <c r="AD163"/>
  <c r="AD162"/>
  <c r="AD161"/>
  <c r="AD160"/>
  <c r="AD159"/>
  <c r="AD158"/>
  <c r="AD157"/>
  <c r="AD156"/>
  <c r="AD155"/>
  <c r="AD154"/>
  <c r="AD153"/>
  <c r="AD152"/>
  <c r="AD151"/>
  <c r="AD150"/>
  <c r="AD149"/>
  <c r="AD148"/>
  <c r="AD147"/>
  <c r="AD146"/>
  <c r="AD145"/>
  <c r="AD144"/>
  <c r="AD143"/>
  <c r="AD142"/>
  <c r="AD141"/>
  <c r="AD140"/>
  <c r="AD139"/>
  <c r="AD138"/>
  <c r="AD137"/>
  <c r="AD136"/>
  <c r="AD135"/>
  <c r="AD134"/>
  <c r="AD133"/>
  <c r="AD132"/>
  <c r="AD131"/>
  <c r="AD130"/>
  <c r="AD129"/>
  <c r="AD128"/>
  <c r="AD127"/>
  <c r="AD126"/>
  <c r="AD125"/>
  <c r="AD124"/>
  <c r="AD123"/>
  <c r="AD122"/>
  <c r="AD121"/>
  <c r="AD120"/>
  <c r="AD119"/>
  <c r="AD118"/>
  <c r="AD117"/>
  <c r="AD116"/>
  <c r="AD115"/>
  <c r="AD114"/>
  <c r="AD113"/>
  <c r="AD112"/>
  <c r="AD111"/>
  <c r="AD110"/>
  <c r="AD109"/>
  <c r="AD108"/>
  <c r="AD107"/>
  <c r="AD106"/>
  <c r="AD105"/>
  <c r="AD104"/>
  <c r="AD103"/>
  <c r="AD102"/>
  <c r="AD101"/>
  <c r="AD100"/>
  <c r="AD99"/>
  <c r="AD98"/>
  <c r="AD97"/>
  <c r="AD96"/>
  <c r="AD95"/>
  <c r="AD94"/>
  <c r="AD93"/>
  <c r="AD92"/>
  <c r="AD91"/>
  <c r="AD90"/>
  <c r="AD89"/>
  <c r="AD88"/>
  <c r="AD87"/>
  <c r="AD86"/>
  <c r="AD85"/>
  <c r="AD84"/>
  <c r="AD83"/>
  <c r="AD82"/>
  <c r="AD81"/>
  <c r="AD80"/>
  <c r="AD79"/>
  <c r="AD78"/>
  <c r="AD77"/>
  <c r="AD76"/>
  <c r="AD75"/>
  <c r="AD74"/>
  <c r="AD73"/>
  <c r="AD72"/>
  <c r="AD71"/>
  <c r="AD70"/>
  <c r="AD69"/>
  <c r="AD68"/>
  <c r="AD67"/>
  <c r="AD66"/>
  <c r="AD65"/>
  <c r="AD64"/>
  <c r="AD63"/>
  <c r="AD62"/>
  <c r="AD61"/>
  <c r="AD60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D4"/>
  <c r="AB405" l="1"/>
  <c r="AA405"/>
  <c r="Z405"/>
  <c r="Y405"/>
  <c r="X405"/>
  <c r="W405"/>
  <c r="V405"/>
  <c r="U405"/>
  <c r="AB404"/>
  <c r="AA404"/>
  <c r="Z404"/>
  <c r="Y404"/>
  <c r="X404"/>
  <c r="W404"/>
  <c r="V404"/>
  <c r="U404"/>
  <c r="AB403"/>
  <c r="AA403"/>
  <c r="Z403"/>
  <c r="Y403"/>
  <c r="X403"/>
  <c r="W403"/>
  <c r="V403"/>
  <c r="U403"/>
  <c r="AB402"/>
  <c r="AA402"/>
  <c r="Z402"/>
  <c r="Y402"/>
  <c r="X402"/>
  <c r="W402"/>
  <c r="V402"/>
  <c r="U402"/>
  <c r="O403"/>
  <c r="X407" l="1"/>
  <c r="W407"/>
  <c r="Y407"/>
  <c r="AA407"/>
  <c r="V407"/>
  <c r="U407"/>
  <c r="AB407"/>
  <c r="Z407"/>
  <c r="AB406"/>
  <c r="AA406"/>
  <c r="Z406"/>
  <c r="Y406"/>
  <c r="X406"/>
  <c r="W406"/>
  <c r="V406"/>
  <c r="U406"/>
  <c r="E405"/>
  <c r="D405"/>
  <c r="C405"/>
  <c r="B405"/>
  <c r="E404"/>
  <c r="D404"/>
  <c r="C404"/>
  <c r="B404"/>
  <c r="E403"/>
  <c r="D403"/>
  <c r="C403"/>
  <c r="B403"/>
  <c r="E402"/>
  <c r="D402"/>
  <c r="C402"/>
  <c r="B402"/>
  <c r="T405"/>
  <c r="S405"/>
  <c r="R405"/>
  <c r="Q405"/>
  <c r="P405"/>
  <c r="O405"/>
  <c r="N405"/>
  <c r="M405"/>
  <c r="L405"/>
  <c r="K405"/>
  <c r="J405"/>
  <c r="I405"/>
  <c r="H405"/>
  <c r="G405"/>
  <c r="T404"/>
  <c r="S404"/>
  <c r="R404"/>
  <c r="Q404"/>
  <c r="P404"/>
  <c r="O404"/>
  <c r="N404"/>
  <c r="M404"/>
  <c r="L404"/>
  <c r="K404"/>
  <c r="J404"/>
  <c r="I404"/>
  <c r="H404"/>
  <c r="G404"/>
  <c r="T403"/>
  <c r="S403"/>
  <c r="R403"/>
  <c r="Q403"/>
  <c r="P403"/>
  <c r="N403"/>
  <c r="M403"/>
  <c r="L403"/>
  <c r="K403"/>
  <c r="J403"/>
  <c r="I403"/>
  <c r="H403"/>
  <c r="G403"/>
  <c r="T402"/>
  <c r="S402"/>
  <c r="R402"/>
  <c r="Q402"/>
  <c r="P402"/>
  <c r="O402"/>
  <c r="N402"/>
  <c r="M402"/>
  <c r="L402"/>
  <c r="K402"/>
  <c r="J402"/>
  <c r="I402"/>
  <c r="H402"/>
  <c r="G402"/>
  <c r="F405"/>
  <c r="F404"/>
  <c r="F403"/>
  <c r="F402"/>
  <c r="D406" l="1"/>
  <c r="E406"/>
  <c r="C406"/>
  <c r="B406"/>
  <c r="E407"/>
  <c r="D407"/>
  <c r="C407"/>
  <c r="B407"/>
  <c r="P407"/>
  <c r="O407"/>
  <c r="M406"/>
  <c r="L407"/>
  <c r="T407"/>
  <c r="H407"/>
  <c r="I407"/>
  <c r="Q407"/>
  <c r="N407"/>
  <c r="G407"/>
  <c r="K407"/>
  <c r="S407"/>
  <c r="J406"/>
  <c r="R406"/>
  <c r="F407"/>
  <c r="F406"/>
  <c r="R407"/>
  <c r="J407"/>
  <c r="Q406"/>
  <c r="L406"/>
  <c r="T406"/>
  <c r="M407"/>
  <c r="K406"/>
  <c r="S406"/>
  <c r="I406"/>
  <c r="H406"/>
  <c r="P406"/>
  <c r="G406"/>
  <c r="O406"/>
  <c r="N406"/>
</calcChain>
</file>

<file path=xl/sharedStrings.xml><?xml version="1.0" encoding="utf-8"?>
<sst xmlns="http://schemas.openxmlformats.org/spreadsheetml/2006/main" count="430" uniqueCount="425">
  <si>
    <t>PMN06</t>
  </si>
  <si>
    <t>PMN07</t>
  </si>
  <si>
    <t>PMN08</t>
  </si>
  <si>
    <t>PMN11</t>
  </si>
  <si>
    <t>PMN12</t>
  </si>
  <si>
    <t>PMN13</t>
  </si>
  <si>
    <t>PMN14</t>
  </si>
  <si>
    <t>PMN15</t>
  </si>
  <si>
    <t>PMN16</t>
  </si>
  <si>
    <t>PMN17</t>
  </si>
  <si>
    <t>PMN18</t>
  </si>
  <si>
    <t>PMN21</t>
  </si>
  <si>
    <t>PMN22</t>
  </si>
  <si>
    <t>PMN23</t>
  </si>
  <si>
    <t>PMN24</t>
  </si>
  <si>
    <t>PORTFOLIO.ON.DATE</t>
  </si>
  <si>
    <t>NIFTY</t>
  </si>
  <si>
    <t>BANKNIFTY</t>
  </si>
  <si>
    <t>X3IINFOTECH</t>
  </si>
  <si>
    <t>ABAN</t>
  </si>
  <si>
    <t>ABB</t>
  </si>
  <si>
    <t>ABGSHIP</t>
  </si>
  <si>
    <t>ABIRLANUVO</t>
  </si>
  <si>
    <t>ACC</t>
  </si>
  <si>
    <t>ADANIENT</t>
  </si>
  <si>
    <t>ADANIPORTS</t>
  </si>
  <si>
    <t>ADANIPOWER</t>
  </si>
  <si>
    <t>AIAENG</t>
  </si>
  <si>
    <t>AIL</t>
  </si>
  <si>
    <t>AJANTPHARM</t>
  </si>
  <si>
    <t>ALBK</t>
  </si>
  <si>
    <t>ALOKTEXT</t>
  </si>
  <si>
    <t>AMARAJABAT</t>
  </si>
  <si>
    <t>AMBUJACEM</t>
  </si>
  <si>
    <t>AMTEKAUTO</t>
  </si>
  <si>
    <t>ANDHRABANK</t>
  </si>
  <si>
    <t>ANSALAPI</t>
  </si>
  <si>
    <t>APOLLOHOSP</t>
  </si>
  <si>
    <t>APOLLOTYRE</t>
  </si>
  <si>
    <t>APTECHT</t>
  </si>
  <si>
    <t>ARVIND</t>
  </si>
  <si>
    <t>ASHOKLEY</t>
  </si>
  <si>
    <t>ASIANPAINT</t>
  </si>
  <si>
    <t>AUROPHARMA</t>
  </si>
  <si>
    <t>AXISBANK</t>
  </si>
  <si>
    <t>BAJAJ.AUTO</t>
  </si>
  <si>
    <t>BAJAJHIND</t>
  </si>
  <si>
    <t>BAJAJHLDNG</t>
  </si>
  <si>
    <t>BAJFINANCE</t>
  </si>
  <si>
    <t>BALAJITELE</t>
  </si>
  <si>
    <t>BALLARPUR</t>
  </si>
  <si>
    <t>BALRAMCHIN</t>
  </si>
  <si>
    <t>BANKBARODA</t>
  </si>
  <si>
    <t>BANKINDIA</t>
  </si>
  <si>
    <t>BATAINDIA</t>
  </si>
  <si>
    <t>BEL</t>
  </si>
  <si>
    <t>BEML</t>
  </si>
  <si>
    <t>BGRENERGY</t>
  </si>
  <si>
    <t>BHARATFORG</t>
  </si>
  <si>
    <t>BHARTIARTL</t>
  </si>
  <si>
    <t>BHEL</t>
  </si>
  <si>
    <t>BHUSANSTL</t>
  </si>
  <si>
    <t>BINDALAGRO</t>
  </si>
  <si>
    <t>BIOCON</t>
  </si>
  <si>
    <t>BIRLACORPN</t>
  </si>
  <si>
    <t>BOMDYEING</t>
  </si>
  <si>
    <t>BOSCHLTD</t>
  </si>
  <si>
    <t>BPCL</t>
  </si>
  <si>
    <t>BRFL</t>
  </si>
  <si>
    <t>BRIGADE</t>
  </si>
  <si>
    <t>BRITANNIA</t>
  </si>
  <si>
    <t>CAIRN</t>
  </si>
  <si>
    <t>CANBK</t>
  </si>
  <si>
    <t>CASTROLIND</t>
  </si>
  <si>
    <t>CEATLTD</t>
  </si>
  <si>
    <t>CENTRALBK</t>
  </si>
  <si>
    <t>CENTURYTEX</t>
  </si>
  <si>
    <t>CESC</t>
  </si>
  <si>
    <t>CHAMBLFERT</t>
  </si>
  <si>
    <t>CHENNPETRO</t>
  </si>
  <si>
    <t>CHOLAFIN</t>
  </si>
  <si>
    <t>CIPLA</t>
  </si>
  <si>
    <t>CMC</t>
  </si>
  <si>
    <t>COALINDIA</t>
  </si>
  <si>
    <t>COLPAL</t>
  </si>
  <si>
    <t>CONCOR</t>
  </si>
  <si>
    <t>COREEDUTEC</t>
  </si>
  <si>
    <t>CORPBANK</t>
  </si>
  <si>
    <t>CROMPGREAV</t>
  </si>
  <si>
    <t>CUMMINSIND</t>
  </si>
  <si>
    <t>DABUR</t>
  </si>
  <si>
    <t>DCBBANK</t>
  </si>
  <si>
    <t>DCHL</t>
  </si>
  <si>
    <t>DEN</t>
  </si>
  <si>
    <t>DENABANK</t>
  </si>
  <si>
    <t>DHANBANK</t>
  </si>
  <si>
    <t>DHFL</t>
  </si>
  <si>
    <t>DISHTV</t>
  </si>
  <si>
    <t>DIVISLAB</t>
  </si>
  <si>
    <t>DLF</t>
  </si>
  <si>
    <t>DRREDDY</t>
  </si>
  <si>
    <t>EDELWEISS</t>
  </si>
  <si>
    <t>EDUCOMP</t>
  </si>
  <si>
    <t>EICHERMOT</t>
  </si>
  <si>
    <t>EKC</t>
  </si>
  <si>
    <t>ENGINERSIN</t>
  </si>
  <si>
    <t>ESCORTS</t>
  </si>
  <si>
    <t>ESSAROIL</t>
  </si>
  <si>
    <t>EXIDEIND</t>
  </si>
  <si>
    <t>FEDERALBNK</t>
  </si>
  <si>
    <t>FINANTECH</t>
  </si>
  <si>
    <t>FORTIS</t>
  </si>
  <si>
    <t>FRL</t>
  </si>
  <si>
    <t>FSL</t>
  </si>
  <si>
    <t>GAIL</t>
  </si>
  <si>
    <t>GAYAPROJ</t>
  </si>
  <si>
    <t>GDL</t>
  </si>
  <si>
    <t>GESHIP</t>
  </si>
  <si>
    <t>GITANJALI</t>
  </si>
  <si>
    <t>GLAXO</t>
  </si>
  <si>
    <t>GLENMARK</t>
  </si>
  <si>
    <t>GMRINFRA</t>
  </si>
  <si>
    <t>GNFC</t>
  </si>
  <si>
    <t>GODREJIND</t>
  </si>
  <si>
    <t>GODREJPROP</t>
  </si>
  <si>
    <t>GPPL</t>
  </si>
  <si>
    <t>GRASIM</t>
  </si>
  <si>
    <t>GSKCONS</t>
  </si>
  <si>
    <t>GSPL</t>
  </si>
  <si>
    <t>GTL</t>
  </si>
  <si>
    <t>GTLINFRA</t>
  </si>
  <si>
    <t>GTOFFSHORE</t>
  </si>
  <si>
    <t>GUJALKALI</t>
  </si>
  <si>
    <t>GUJFLUORO</t>
  </si>
  <si>
    <t>GVKPIL</t>
  </si>
  <si>
    <t>HAVELLS</t>
  </si>
  <si>
    <t>HCC</t>
  </si>
  <si>
    <t>HCLTECH</t>
  </si>
  <si>
    <t>HDFC</t>
  </si>
  <si>
    <t>HDFCBANK</t>
  </si>
  <si>
    <t>HDIL</t>
  </si>
  <si>
    <t>HEROMOTOCO</t>
  </si>
  <si>
    <t>HEXAWARE</t>
  </si>
  <si>
    <t>HGS</t>
  </si>
  <si>
    <t>HINDALCO</t>
  </si>
  <si>
    <t>HINDOILEXP</t>
  </si>
  <si>
    <t>HINDPETRO</t>
  </si>
  <si>
    <t>HINDUJAFO</t>
  </si>
  <si>
    <t>HINDUJAVEN</t>
  </si>
  <si>
    <t>HINDUNILVR</t>
  </si>
  <si>
    <t>HINDZINC</t>
  </si>
  <si>
    <t>HOTELEELA</t>
  </si>
  <si>
    <t>HUBTOWN</t>
  </si>
  <si>
    <t>IBREALEST</t>
  </si>
  <si>
    <t>IBULHSGFIN</t>
  </si>
  <si>
    <t>ICICIBANK</t>
  </si>
  <si>
    <t>ICSA</t>
  </si>
  <si>
    <t>IDBI</t>
  </si>
  <si>
    <t>IDEA</t>
  </si>
  <si>
    <t>IDFC</t>
  </si>
  <si>
    <t>IFCI</t>
  </si>
  <si>
    <t>IGL</t>
  </si>
  <si>
    <t>IIFL</t>
  </si>
  <si>
    <t>INDHOTEL</t>
  </si>
  <si>
    <t>INDIACEM</t>
  </si>
  <si>
    <t>INDIANB</t>
  </si>
  <si>
    <t>INDUSINDBK</t>
  </si>
  <si>
    <t>INFY</t>
  </si>
  <si>
    <t>INGVYSYABK</t>
  </si>
  <si>
    <t>IOB</t>
  </si>
  <si>
    <t>IOC</t>
  </si>
  <si>
    <t>IRB</t>
  </si>
  <si>
    <t>ITC</t>
  </si>
  <si>
    <t>IVRCLAH</t>
  </si>
  <si>
    <t>IVRCLINFRA</t>
  </si>
  <si>
    <t>JETAIRWAYS</t>
  </si>
  <si>
    <t>JINDALSAW</t>
  </si>
  <si>
    <t>JINDALSTEL</t>
  </si>
  <si>
    <t>JISLJALEQS</t>
  </si>
  <si>
    <t>JPASSOCIAT</t>
  </si>
  <si>
    <t>JPPOWER</t>
  </si>
  <si>
    <t>JSL</t>
  </si>
  <si>
    <t>JSWENERGY</t>
  </si>
  <si>
    <t>JSWISPAT</t>
  </si>
  <si>
    <t>JSWSTEEL</t>
  </si>
  <si>
    <t>JUBLFOOD</t>
  </si>
  <si>
    <t>JUSTDIAL</t>
  </si>
  <si>
    <t>KESORAMIND</t>
  </si>
  <si>
    <t>KFA</t>
  </si>
  <si>
    <t>KOTAKBANK</t>
  </si>
  <si>
    <t>KPIT</t>
  </si>
  <si>
    <t>KSCL</t>
  </si>
  <si>
    <t>KSK</t>
  </si>
  <si>
    <t>KSOILS</t>
  </si>
  <si>
    <t>KTKBANK</t>
  </si>
  <si>
    <t>L.TFH</t>
  </si>
  <si>
    <t>LAXMIMACH</t>
  </si>
  <si>
    <t>LICHSGFIN</t>
  </si>
  <si>
    <t>LITL</t>
  </si>
  <si>
    <t>LT</t>
  </si>
  <si>
    <t>LUPIN</t>
  </si>
  <si>
    <t>M.M</t>
  </si>
  <si>
    <t>M.MFIN</t>
  </si>
  <si>
    <t>MAHLIFE</t>
  </si>
  <si>
    <t>MAHSEAMLES</t>
  </si>
  <si>
    <t>MARUTI</t>
  </si>
  <si>
    <t>MCDOWELL.N</t>
  </si>
  <si>
    <t>MCLEODRUSS</t>
  </si>
  <si>
    <t>MERCATOR</t>
  </si>
  <si>
    <t>MHRIL</t>
  </si>
  <si>
    <t>MIC</t>
  </si>
  <si>
    <t>MINDTREE</t>
  </si>
  <si>
    <t>MONNETISPA</t>
  </si>
  <si>
    <t>MOSERBAER</t>
  </si>
  <si>
    <t>MOTHERSUMI</t>
  </si>
  <si>
    <t>MPHASIS</t>
  </si>
  <si>
    <t>MRF</t>
  </si>
  <si>
    <t>MRPL</t>
  </si>
  <si>
    <t>MTNL</t>
  </si>
  <si>
    <t>MUTHOOTFIN</t>
  </si>
  <si>
    <t>MYSOREBANK</t>
  </si>
  <si>
    <t>NAGARFERT</t>
  </si>
  <si>
    <t>NATIONALUM</t>
  </si>
  <si>
    <t>NAUKRI</t>
  </si>
  <si>
    <t>NBVENTURES</t>
  </si>
  <si>
    <t>NCC</t>
  </si>
  <si>
    <t>NDTV</t>
  </si>
  <si>
    <t>NETWORK18</t>
  </si>
  <si>
    <t>NEYVELILIG</t>
  </si>
  <si>
    <t>NHPC</t>
  </si>
  <si>
    <t>NIITLTD</t>
  </si>
  <si>
    <t>NIITTECH</t>
  </si>
  <si>
    <t>NMDC</t>
  </si>
  <si>
    <t>NOIDATOLL</t>
  </si>
  <si>
    <t>NTPC</t>
  </si>
  <si>
    <t>NUCLEUS</t>
  </si>
  <si>
    <t>OFSS</t>
  </si>
  <si>
    <t>OIL</t>
  </si>
  <si>
    <t>OMAXE</t>
  </si>
  <si>
    <t>ONGC</t>
  </si>
  <si>
    <t>OPTOCIRCUI</t>
  </si>
  <si>
    <t>ORBITCORP</t>
  </si>
  <si>
    <t>ORCHIDCHEM</t>
  </si>
  <si>
    <t>ORIENTBANK</t>
  </si>
  <si>
    <t>PAGEIND</t>
  </si>
  <si>
    <t>PARSVNATH</t>
  </si>
  <si>
    <t>PATELENG</t>
  </si>
  <si>
    <t>PATNI</t>
  </si>
  <si>
    <t>PEL</t>
  </si>
  <si>
    <t>PENINLAND</t>
  </si>
  <si>
    <t>PETRONET</t>
  </si>
  <si>
    <t>PFC</t>
  </si>
  <si>
    <t>PIDILITIND</t>
  </si>
  <si>
    <t>PIIND</t>
  </si>
  <si>
    <t>PNB</t>
  </si>
  <si>
    <t>POLARIS</t>
  </si>
  <si>
    <t>POWERGRID</t>
  </si>
  <si>
    <t>PRAJIND</t>
  </si>
  <si>
    <t>PRESTIGE</t>
  </si>
  <si>
    <t>PRISMCEM</t>
  </si>
  <si>
    <t>PTC</t>
  </si>
  <si>
    <t>PUNJLLOYD</t>
  </si>
  <si>
    <t>PURVA</t>
  </si>
  <si>
    <t>RAJESHEXPO</t>
  </si>
  <si>
    <t>RANBAXY</t>
  </si>
  <si>
    <t>RAYMOND</t>
  </si>
  <si>
    <t>RCOM</t>
  </si>
  <si>
    <t>RECLTD</t>
  </si>
  <si>
    <t>REDINGTON</t>
  </si>
  <si>
    <t>RELCAPITAL</t>
  </si>
  <si>
    <t>RELIANCE</t>
  </si>
  <si>
    <t>RELINFRA</t>
  </si>
  <si>
    <t>RELMEDIA</t>
  </si>
  <si>
    <t>RENUKA</t>
  </si>
  <si>
    <t>RIIL</t>
  </si>
  <si>
    <t>RNRL</t>
  </si>
  <si>
    <t>ROLTA</t>
  </si>
  <si>
    <t>RPOWER</t>
  </si>
  <si>
    <t>RUCHISOYA</t>
  </si>
  <si>
    <t>SAIL</t>
  </si>
  <si>
    <t>SASKEN</t>
  </si>
  <si>
    <t>SATYAMCOMP</t>
  </si>
  <si>
    <t>SBIN</t>
  </si>
  <si>
    <t>SCI</t>
  </si>
  <si>
    <t>SHREECEM</t>
  </si>
  <si>
    <t>SIEMENS</t>
  </si>
  <si>
    <t>SINTEX</t>
  </si>
  <si>
    <t>SITICABLE</t>
  </si>
  <si>
    <t>SKSMICRO</t>
  </si>
  <si>
    <t>SKUMARSYNF</t>
  </si>
  <si>
    <t>SOBHA</t>
  </si>
  <si>
    <t>SOUTHBANK</t>
  </si>
  <si>
    <t>SREINFRA</t>
  </si>
  <si>
    <t>SRF</t>
  </si>
  <si>
    <t>SRTRANSFIN</t>
  </si>
  <si>
    <t>STAR</t>
  </si>
  <si>
    <t>STER</t>
  </si>
  <si>
    <t>STERLINBIO</t>
  </si>
  <si>
    <t>STRTECH</t>
  </si>
  <si>
    <t>SUNCLAYLTD</t>
  </si>
  <si>
    <t>SUNPHARMA</t>
  </si>
  <si>
    <t>SUNTV</t>
  </si>
  <si>
    <t>SUZLON</t>
  </si>
  <si>
    <t>SYNDIBANK</t>
  </si>
  <si>
    <t>TALWALKARS</t>
  </si>
  <si>
    <t>TATACHEM</t>
  </si>
  <si>
    <t>TATACOMM</t>
  </si>
  <si>
    <t>TATAGLOBAL</t>
  </si>
  <si>
    <t>TATAMOTORS</t>
  </si>
  <si>
    <t>TATAMTRDVR</t>
  </si>
  <si>
    <t>TATAPOWER</t>
  </si>
  <si>
    <t>TATASTEEL</t>
  </si>
  <si>
    <t>TCS</t>
  </si>
  <si>
    <t>TECHM</t>
  </si>
  <si>
    <t>THERMAX</t>
  </si>
  <si>
    <t>THOMASCOOK</t>
  </si>
  <si>
    <t>TIMKEN</t>
  </si>
  <si>
    <t>TITAN</t>
  </si>
  <si>
    <t>TORNTPOWER</t>
  </si>
  <si>
    <t>TRENT</t>
  </si>
  <si>
    <t>TRIVENI</t>
  </si>
  <si>
    <t>TTML</t>
  </si>
  <si>
    <t>TULIP</t>
  </si>
  <si>
    <t>TV18BRDCST</t>
  </si>
  <si>
    <t>TVSMOTOR</t>
  </si>
  <si>
    <t>UBL</t>
  </si>
  <si>
    <t>UCOBANK</t>
  </si>
  <si>
    <t>ULTRACEMCO</t>
  </si>
  <si>
    <t>UNIONBANK</t>
  </si>
  <si>
    <t>UNITECH</t>
  </si>
  <si>
    <t>UPL</t>
  </si>
  <si>
    <t>UTTAMSTL</t>
  </si>
  <si>
    <t>UTVSOF</t>
  </si>
  <si>
    <t>VEDL</t>
  </si>
  <si>
    <t>VIDEOIND</t>
  </si>
  <si>
    <t>VIJAYABANK</t>
  </si>
  <si>
    <t>VOLTAMP</t>
  </si>
  <si>
    <t>VOLTAS</t>
  </si>
  <si>
    <t>WALCHANNAG</t>
  </si>
  <si>
    <t>WELCORP</t>
  </si>
  <si>
    <t>WIPRO</t>
  </si>
  <si>
    <t>WOCKPHARMA</t>
  </si>
  <si>
    <t>YESBANK</t>
  </si>
  <si>
    <t>ZEEL</t>
  </si>
  <si>
    <t>CADILAHC</t>
  </si>
  <si>
    <t>INFRATEL</t>
  </si>
  <si>
    <t>MARICO</t>
  </si>
  <si>
    <t>GODREJCP</t>
  </si>
  <si>
    <t>GRANULES</t>
  </si>
  <si>
    <t>PCJEWELLER</t>
  </si>
  <si>
    <t>TATAELXSI</t>
  </si>
  <si>
    <t>ICIL</t>
  </si>
  <si>
    <t>TORNTPHARM</t>
  </si>
  <si>
    <t>CGPOWER</t>
  </si>
  <si>
    <t>CAPF</t>
  </si>
  <si>
    <t>EQUITAS</t>
  </si>
  <si>
    <t>INDIGO</t>
  </si>
  <si>
    <t>INFIBEAM</t>
  </si>
  <si>
    <t>MFSL</t>
  </si>
  <si>
    <t>IDFCBANK</t>
  </si>
  <si>
    <t>PVR</t>
  </si>
  <si>
    <t>RDEL</t>
  </si>
  <si>
    <t>UJJIVAN</t>
  </si>
  <si>
    <t>DALMIABHA</t>
  </si>
  <si>
    <t>BHARATFIN</t>
  </si>
  <si>
    <t>SESAGOA</t>
  </si>
  <si>
    <t>SSLT</t>
  </si>
  <si>
    <t>No long</t>
  </si>
  <si>
    <t>No short</t>
  </si>
  <si>
    <t>Long exp</t>
  </si>
  <si>
    <t>Short exp</t>
  </si>
  <si>
    <t>Gross exp</t>
  </si>
  <si>
    <t>Net exp</t>
  </si>
  <si>
    <t>R1</t>
  </si>
  <si>
    <t>R2</t>
  </si>
  <si>
    <t>R3</t>
  </si>
  <si>
    <t>M1</t>
  </si>
  <si>
    <t>M2</t>
  </si>
  <si>
    <t>M3</t>
  </si>
  <si>
    <t>M4</t>
  </si>
  <si>
    <t>M5</t>
  </si>
  <si>
    <t>M6</t>
  </si>
  <si>
    <t>M7</t>
  </si>
  <si>
    <t>M8</t>
  </si>
  <si>
    <t>L1</t>
  </si>
  <si>
    <t>L2</t>
  </si>
  <si>
    <t>L3</t>
  </si>
  <si>
    <t>L4</t>
  </si>
  <si>
    <t>total</t>
  </si>
  <si>
    <t>L&amp;TFH</t>
  </si>
  <si>
    <t>MCDOWELL-N</t>
  </si>
  <si>
    <t>BAJAJ-AUTO</t>
  </si>
  <si>
    <t>M&amp;M</t>
  </si>
  <si>
    <t>M&amp;MFIN</t>
  </si>
  <si>
    <t>HCL-INSYS</t>
  </si>
  <si>
    <t>J&amp;KBANK</t>
  </si>
  <si>
    <t>PMN01</t>
  </si>
  <si>
    <t>PMN02</t>
  </si>
  <si>
    <t>PMN03</t>
  </si>
  <si>
    <t>PMN05</t>
  </si>
  <si>
    <t>BALKRISIND</t>
  </si>
  <si>
    <t>BERGEPAINT</t>
  </si>
  <si>
    <t>NESTLEIND</t>
  </si>
  <si>
    <t>GSFC</t>
  </si>
  <si>
    <t>GODFRYPHLP</t>
  </si>
  <si>
    <t>CANFINHOME</t>
  </si>
  <si>
    <t>NBCC</t>
  </si>
  <si>
    <t>MGL</t>
  </si>
  <si>
    <t>VGUARD</t>
  </si>
  <si>
    <t>MCX</t>
  </si>
  <si>
    <t>BAJAJFINSV</t>
  </si>
  <si>
    <t>RAMCOCEM</t>
  </si>
  <si>
    <t>KAJARIACER</t>
  </si>
  <si>
    <t>RBLBANK</t>
  </si>
  <si>
    <t>PMN31</t>
  </si>
  <si>
    <t>PMN32</t>
  </si>
  <si>
    <t>PMN33</t>
  </si>
  <si>
    <t>PMN34</t>
  </si>
  <si>
    <t>PMN35</t>
  </si>
  <si>
    <t>PMN36</t>
  </si>
  <si>
    <t>PMN37</t>
  </si>
  <si>
    <t>PMN38</t>
  </si>
  <si>
    <t>REPCOHOME</t>
  </si>
  <si>
    <t>ICICIPRULI</t>
  </si>
  <si>
    <t>MANAPPURAM</t>
  </si>
</sst>
</file>

<file path=xl/styles.xml><?xml version="1.0" encoding="utf-8"?>
<styleSheet xmlns="http://schemas.openxmlformats.org/spreadsheetml/2006/main">
  <numFmts count="1">
    <numFmt numFmtId="164" formatCode="_(* #,##0.00_);_(* \(#,##0.00\);_(* &quot;-&quot;??_);_(@_)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8">
    <xf numFmtId="0" fontId="0" fillId="0" borderId="0" xfId="0"/>
    <xf numFmtId="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164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H409"/>
  <sheetViews>
    <sheetView tabSelected="1" workbookViewId="0">
      <pane xSplit="1" ySplit="3" topLeftCell="N303" activePane="bottomRight" state="frozen"/>
      <selection pane="topRight" activeCell="B1" sqref="B1"/>
      <selection pane="bottomLeft" activeCell="A4" sqref="A4"/>
      <selection pane="bottomRight" activeCell="O303" sqref="O303"/>
    </sheetView>
  </sheetViews>
  <sheetFormatPr defaultRowHeight="15"/>
  <cols>
    <col min="1" max="1" width="19.85546875" bestFit="1" customWidth="1"/>
    <col min="2" max="2" width="13.28515625" style="3" customWidth="1"/>
    <col min="3" max="3" width="13.42578125" style="3" customWidth="1"/>
    <col min="4" max="4" width="13.28515625" style="3" customWidth="1"/>
    <col min="5" max="5" width="11.28515625" style="3" customWidth="1"/>
    <col min="6" max="20" width="11.7109375" bestFit="1" customWidth="1"/>
    <col min="21" max="28" width="11.7109375" style="5" customWidth="1"/>
  </cols>
  <sheetData>
    <row r="1" spans="1:34">
      <c r="B1" s="5">
        <v>10</v>
      </c>
      <c r="C1" s="5">
        <v>10</v>
      </c>
      <c r="D1" s="5">
        <v>10</v>
      </c>
      <c r="E1" s="5">
        <v>0</v>
      </c>
      <c r="F1" s="5">
        <v>25</v>
      </c>
      <c r="G1" s="5">
        <v>25</v>
      </c>
      <c r="H1" s="5">
        <v>25</v>
      </c>
      <c r="I1" s="5">
        <v>15</v>
      </c>
      <c r="J1" s="5">
        <v>15</v>
      </c>
      <c r="K1" s="5">
        <v>5</v>
      </c>
      <c r="L1" s="5">
        <v>5</v>
      </c>
      <c r="M1" s="5">
        <v>10</v>
      </c>
      <c r="N1" s="5">
        <v>10</v>
      </c>
      <c r="O1" s="5">
        <v>5</v>
      </c>
      <c r="P1" s="5">
        <v>5</v>
      </c>
      <c r="Q1" s="5">
        <v>18.75</v>
      </c>
      <c r="R1" s="5">
        <v>18.75</v>
      </c>
      <c r="S1" s="5">
        <v>18.75</v>
      </c>
      <c r="T1" s="5">
        <v>18.75</v>
      </c>
      <c r="U1" s="5">
        <v>15</v>
      </c>
      <c r="V1" s="5">
        <v>15</v>
      </c>
      <c r="W1" s="5">
        <v>5</v>
      </c>
      <c r="X1" s="5">
        <v>5</v>
      </c>
      <c r="Y1" s="5">
        <v>10</v>
      </c>
      <c r="Z1" s="5">
        <v>10</v>
      </c>
      <c r="AA1" s="5">
        <v>5</v>
      </c>
      <c r="AB1" s="5">
        <v>5</v>
      </c>
    </row>
    <row r="2" spans="1:34">
      <c r="B2" s="3" t="s">
        <v>396</v>
      </c>
      <c r="C2" s="3" t="s">
        <v>397</v>
      </c>
      <c r="D2" s="3" t="s">
        <v>398</v>
      </c>
      <c r="E2" s="3" t="s">
        <v>399</v>
      </c>
      <c r="F2" s="3" t="s">
        <v>0</v>
      </c>
      <c r="G2" s="3" t="s">
        <v>1</v>
      </c>
      <c r="H2" s="3" t="s">
        <v>2</v>
      </c>
      <c r="I2" s="3" t="s">
        <v>3</v>
      </c>
      <c r="J2" s="3" t="s">
        <v>4</v>
      </c>
      <c r="K2" s="3" t="s">
        <v>5</v>
      </c>
      <c r="L2" s="3" t="s">
        <v>6</v>
      </c>
      <c r="M2" s="3" t="s">
        <v>7</v>
      </c>
      <c r="N2" s="3" t="s">
        <v>8</v>
      </c>
      <c r="O2" s="3" t="s">
        <v>9</v>
      </c>
      <c r="P2" s="3" t="s">
        <v>10</v>
      </c>
      <c r="Q2" s="3" t="s">
        <v>11</v>
      </c>
      <c r="R2" s="3" t="s">
        <v>12</v>
      </c>
      <c r="S2" s="3" t="s">
        <v>13</v>
      </c>
      <c r="T2" s="3" t="s">
        <v>14</v>
      </c>
      <c r="U2" s="5" t="s">
        <v>414</v>
      </c>
      <c r="V2" s="5" t="s">
        <v>415</v>
      </c>
      <c r="W2" s="5" t="s">
        <v>416</v>
      </c>
      <c r="X2" s="5" t="s">
        <v>417</v>
      </c>
      <c r="Y2" s="5" t="s">
        <v>418</v>
      </c>
      <c r="Z2" s="5" t="s">
        <v>419</v>
      </c>
      <c r="AA2" s="5" t="s">
        <v>420</v>
      </c>
      <c r="AB2" s="5" t="s">
        <v>421</v>
      </c>
      <c r="AD2" t="s">
        <v>388</v>
      </c>
    </row>
    <row r="3" spans="1:34">
      <c r="A3" t="s">
        <v>15</v>
      </c>
      <c r="B3" s="6">
        <v>42989</v>
      </c>
      <c r="C3" s="6">
        <v>42989</v>
      </c>
      <c r="D3" s="6">
        <v>42989</v>
      </c>
      <c r="E3" s="6">
        <v>42989</v>
      </c>
      <c r="F3" s="6">
        <v>42989</v>
      </c>
      <c r="G3" s="6">
        <v>42989</v>
      </c>
      <c r="H3" s="6">
        <v>42989</v>
      </c>
      <c r="I3" s="6">
        <v>42989</v>
      </c>
      <c r="J3" s="6">
        <v>42989</v>
      </c>
      <c r="K3" s="6">
        <v>42989</v>
      </c>
      <c r="L3" s="6">
        <v>42989</v>
      </c>
      <c r="M3" s="6">
        <v>42989</v>
      </c>
      <c r="N3" s="6">
        <v>42989</v>
      </c>
      <c r="O3" s="6">
        <v>42989</v>
      </c>
      <c r="P3" s="6">
        <v>42989</v>
      </c>
      <c r="Q3" s="6">
        <v>42989</v>
      </c>
      <c r="R3" s="6">
        <v>42989</v>
      </c>
      <c r="S3" s="6">
        <v>42989</v>
      </c>
      <c r="T3" s="6">
        <v>42989</v>
      </c>
      <c r="U3" s="6">
        <v>42989</v>
      </c>
      <c r="V3" s="6">
        <v>42989</v>
      </c>
      <c r="W3" s="6">
        <v>42989</v>
      </c>
      <c r="X3" s="6">
        <v>42989</v>
      </c>
      <c r="Y3" s="6">
        <v>42989</v>
      </c>
      <c r="Z3" s="6">
        <v>42989</v>
      </c>
      <c r="AA3" s="6">
        <v>42989</v>
      </c>
      <c r="AB3" s="6">
        <v>42989</v>
      </c>
      <c r="AD3" s="1"/>
      <c r="AF3" s="7"/>
      <c r="AG3" t="s">
        <v>389</v>
      </c>
      <c r="AH3" t="s">
        <v>195</v>
      </c>
    </row>
    <row r="4" spans="1:34">
      <c r="A4" s="2" t="s">
        <v>16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D4" s="1">
        <f>+SUMPRODUCT(B4:AB4,$B$1:$AB$1)</f>
        <v>0</v>
      </c>
      <c r="AF4" s="7"/>
      <c r="AG4" t="s">
        <v>390</v>
      </c>
      <c r="AH4" t="s">
        <v>206</v>
      </c>
    </row>
    <row r="5" spans="1:34">
      <c r="A5" s="2" t="s">
        <v>17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D5" s="1">
        <f t="shared" ref="AD5:AD68" si="0">+SUMPRODUCT(B5:AB5,$B$1:$AB$1)</f>
        <v>0</v>
      </c>
      <c r="AF5" s="7"/>
      <c r="AG5" t="s">
        <v>391</v>
      </c>
      <c r="AH5" t="s">
        <v>45</v>
      </c>
    </row>
    <row r="6" spans="1:34">
      <c r="A6" s="2" t="s">
        <v>18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D6" s="1">
        <f t="shared" si="0"/>
        <v>0</v>
      </c>
      <c r="AF6" s="7"/>
      <c r="AG6" t="s">
        <v>392</v>
      </c>
      <c r="AH6" t="s">
        <v>201</v>
      </c>
    </row>
    <row r="7" spans="1:34">
      <c r="A7" s="2" t="s">
        <v>19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D7" s="1">
        <f t="shared" si="0"/>
        <v>0</v>
      </c>
      <c r="AF7" s="7"/>
      <c r="AG7" t="s">
        <v>393</v>
      </c>
      <c r="AH7" t="s">
        <v>202</v>
      </c>
    </row>
    <row r="8" spans="1:34">
      <c r="A8" s="2" t="s">
        <v>20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D8" s="1">
        <f t="shared" si="0"/>
        <v>0</v>
      </c>
      <c r="AF8" s="7"/>
    </row>
    <row r="9" spans="1:34">
      <c r="A9" s="2" t="s">
        <v>21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D9" s="1">
        <f t="shared" si="0"/>
        <v>0</v>
      </c>
      <c r="AF9" s="7"/>
    </row>
    <row r="10" spans="1:34">
      <c r="A10" s="2" t="s">
        <v>22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D10" s="1">
        <f t="shared" si="0"/>
        <v>0</v>
      </c>
      <c r="AF10" s="7"/>
    </row>
    <row r="11" spans="1:34">
      <c r="A11" s="2" t="s">
        <v>23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-2.30209E-2</v>
      </c>
      <c r="J11" s="5">
        <v>0</v>
      </c>
      <c r="K11" s="5">
        <v>0</v>
      </c>
      <c r="L11" s="5">
        <v>0</v>
      </c>
      <c r="M11" s="5">
        <v>0</v>
      </c>
      <c r="N11" s="5">
        <v>2.71875E-2</v>
      </c>
      <c r="O11" s="5">
        <v>-4.6935940000000002E-2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-1.812747E-2</v>
      </c>
      <c r="V11" s="5">
        <v>0</v>
      </c>
      <c r="W11" s="5">
        <v>-2.9164369999999998E-2</v>
      </c>
      <c r="X11" s="5">
        <v>0</v>
      </c>
      <c r="Y11" s="5">
        <v>0</v>
      </c>
      <c r="Z11" s="5">
        <v>0</v>
      </c>
      <c r="AA11" s="5">
        <v>0</v>
      </c>
      <c r="AB11" s="5">
        <v>-1.987481E-2</v>
      </c>
      <c r="AD11" s="1">
        <f t="shared" si="0"/>
        <v>-0.8252261500000001</v>
      </c>
      <c r="AF11" s="7"/>
    </row>
    <row r="12" spans="1:34">
      <c r="A12" s="2" t="s">
        <v>24</v>
      </c>
      <c r="B12" s="5">
        <v>0</v>
      </c>
      <c r="C12" s="5">
        <v>0</v>
      </c>
      <c r="D12" s="5">
        <v>0</v>
      </c>
      <c r="E12" s="5">
        <v>0</v>
      </c>
      <c r="F12" s="5">
        <v>-1.7766520000000001E-2</v>
      </c>
      <c r="G12" s="5">
        <v>-1.9706060000000001E-2</v>
      </c>
      <c r="H12" s="5">
        <v>-1.7493910000000001E-2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D12" s="1">
        <f t="shared" si="0"/>
        <v>-1.3741622500000001</v>
      </c>
      <c r="AF12" s="7"/>
    </row>
    <row r="13" spans="1:34">
      <c r="A13" s="2" t="s">
        <v>25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-2.0763790000000001E-2</v>
      </c>
      <c r="I13" s="5">
        <v>2.2812499999999999E-2</v>
      </c>
      <c r="J13" s="5">
        <v>0</v>
      </c>
      <c r="K13" s="5">
        <v>2.1562499999999998E-2</v>
      </c>
      <c r="L13" s="5">
        <v>2.2812499999999999E-2</v>
      </c>
      <c r="M13" s="5">
        <v>2.5937499999999999E-2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2.4062500000000001E-2</v>
      </c>
      <c r="Y13" s="5">
        <v>0</v>
      </c>
      <c r="Z13" s="5">
        <v>0</v>
      </c>
      <c r="AA13" s="5">
        <v>0</v>
      </c>
      <c r="AB13" s="5">
        <v>2.6602560000000001E-2</v>
      </c>
      <c r="AD13" s="1">
        <f t="shared" si="0"/>
        <v>0.55766804999999986</v>
      </c>
      <c r="AF13" s="7"/>
    </row>
    <row r="14" spans="1:34">
      <c r="A14" s="2" t="s">
        <v>26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D14" s="1">
        <f t="shared" si="0"/>
        <v>0</v>
      </c>
      <c r="AF14" s="7"/>
    </row>
    <row r="15" spans="1:34">
      <c r="A15" s="2" t="s">
        <v>27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D15" s="1">
        <f t="shared" si="0"/>
        <v>0</v>
      </c>
      <c r="AF15" s="7"/>
    </row>
    <row r="16" spans="1:34">
      <c r="A16" s="2" t="s">
        <v>28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D16" s="1">
        <f t="shared" si="0"/>
        <v>0</v>
      </c>
      <c r="AF16" s="7"/>
    </row>
    <row r="17" spans="1:32">
      <c r="A17" s="2" t="s">
        <v>29</v>
      </c>
      <c r="B17" s="5">
        <v>-2.7681580000000001E-2</v>
      </c>
      <c r="C17" s="5">
        <v>-2.7454099999999999E-2</v>
      </c>
      <c r="D17" s="5">
        <v>-2.941179E-2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D17" s="1">
        <f t="shared" si="0"/>
        <v>-0.84547470000000002</v>
      </c>
      <c r="AF17" s="7"/>
    </row>
    <row r="18" spans="1:32">
      <c r="A18" s="2" t="s">
        <v>30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D18" s="1">
        <f t="shared" si="0"/>
        <v>0</v>
      </c>
      <c r="AF18" s="7"/>
    </row>
    <row r="19" spans="1:32">
      <c r="A19" s="2" t="s">
        <v>31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D19" s="1">
        <f t="shared" si="0"/>
        <v>0</v>
      </c>
      <c r="AF19" s="7"/>
    </row>
    <row r="20" spans="1:32">
      <c r="A20" s="2" t="s">
        <v>32</v>
      </c>
      <c r="B20" s="5">
        <v>0</v>
      </c>
      <c r="C20" s="5">
        <v>-2.3002080000000001E-2</v>
      </c>
      <c r="D20" s="5">
        <v>-2.6629590000000002E-2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D20" s="1">
        <f t="shared" si="0"/>
        <v>-0.49631670000000006</v>
      </c>
      <c r="AF20" s="7"/>
    </row>
    <row r="21" spans="1:32">
      <c r="A21" s="2" t="s">
        <v>33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-2.204246E-2</v>
      </c>
      <c r="S21" s="5">
        <v>0</v>
      </c>
      <c r="T21" s="5">
        <v>-2.0344580000000001E-2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D21" s="1">
        <f t="shared" si="0"/>
        <v>-0.79475700000000005</v>
      </c>
      <c r="AF21" s="7"/>
    </row>
    <row r="22" spans="1:32">
      <c r="A22" s="2" t="s">
        <v>34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D22" s="1">
        <f t="shared" si="0"/>
        <v>0</v>
      </c>
      <c r="AF22" s="7"/>
    </row>
    <row r="23" spans="1:32">
      <c r="A23" s="2" t="s">
        <v>35</v>
      </c>
      <c r="B23" s="5">
        <v>0</v>
      </c>
      <c r="C23" s="5">
        <v>-2.114707E-2</v>
      </c>
      <c r="D23" s="5">
        <v>-2.305248E-2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D23" s="1">
        <f t="shared" si="0"/>
        <v>-0.44199549999999999</v>
      </c>
      <c r="AF23" s="7"/>
    </row>
    <row r="24" spans="1:32">
      <c r="A24" s="2" t="s">
        <v>36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D24" s="1">
        <f t="shared" si="0"/>
        <v>0</v>
      </c>
      <c r="AF24" s="7"/>
    </row>
    <row r="25" spans="1:32">
      <c r="A25" s="2" t="s">
        <v>37</v>
      </c>
      <c r="B25" s="5">
        <v>-2.6543979999999998E-2</v>
      </c>
      <c r="C25" s="5">
        <v>-2.6341090000000001E-2</v>
      </c>
      <c r="D25" s="5">
        <v>-2.9809249999999999E-2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D25" s="1">
        <f t="shared" si="0"/>
        <v>-0.82694319999999999</v>
      </c>
      <c r="AF25" s="7"/>
    </row>
    <row r="26" spans="1:32">
      <c r="A26" s="2" t="s">
        <v>38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2.4062500000000001E-2</v>
      </c>
      <c r="M26" s="5">
        <v>0</v>
      </c>
      <c r="N26" s="5">
        <v>0</v>
      </c>
      <c r="O26" s="5">
        <v>4.7191009999999999E-2</v>
      </c>
      <c r="P26" s="5">
        <v>-2.472034E-2</v>
      </c>
      <c r="Q26" s="5">
        <v>-1.988699E-2</v>
      </c>
      <c r="R26" s="5">
        <v>-2.092639E-2</v>
      </c>
      <c r="S26" s="5">
        <v>0</v>
      </c>
      <c r="T26" s="5">
        <v>-1.7173999999999998E-2</v>
      </c>
      <c r="U26" s="5">
        <v>0</v>
      </c>
      <c r="V26" s="5">
        <v>0</v>
      </c>
      <c r="W26" s="5">
        <v>0</v>
      </c>
      <c r="X26" s="5">
        <v>0</v>
      </c>
      <c r="Y26" s="5">
        <v>-1.848965E-2</v>
      </c>
      <c r="Z26" s="5">
        <v>0</v>
      </c>
      <c r="AA26" s="5">
        <v>0</v>
      </c>
      <c r="AB26" s="5">
        <v>0</v>
      </c>
      <c r="AD26" s="1">
        <f t="shared" si="0"/>
        <v>-1.039494025</v>
      </c>
      <c r="AF26" s="7"/>
    </row>
    <row r="27" spans="1:32">
      <c r="A27" s="2" t="s">
        <v>39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D27" s="1">
        <f t="shared" si="0"/>
        <v>0</v>
      </c>
      <c r="AF27" s="7"/>
    </row>
    <row r="28" spans="1:32">
      <c r="A28" s="2" t="s">
        <v>40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-2.0037260000000001E-2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D28" s="1">
        <f t="shared" si="0"/>
        <v>-0.50093150000000009</v>
      </c>
      <c r="AF28" s="7"/>
    </row>
    <row r="29" spans="1:32">
      <c r="A29" s="2" t="s">
        <v>41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-1.8381290000000002E-2</v>
      </c>
      <c r="H29" s="5">
        <v>-2.1417769999999999E-2</v>
      </c>
      <c r="I29" s="5">
        <v>2.71875E-2</v>
      </c>
      <c r="J29" s="5">
        <v>0</v>
      </c>
      <c r="K29" s="5">
        <v>2.4687500000000001E-2</v>
      </c>
      <c r="L29" s="5">
        <v>0</v>
      </c>
      <c r="M29" s="5">
        <v>2.78125E-2</v>
      </c>
      <c r="N29" s="5">
        <v>0</v>
      </c>
      <c r="O29" s="5">
        <v>4.9438200000000002E-2</v>
      </c>
      <c r="P29" s="5">
        <v>2.0253159999999999E-2</v>
      </c>
      <c r="Q29" s="5">
        <v>0</v>
      </c>
      <c r="R29" s="5">
        <v>0</v>
      </c>
      <c r="S29" s="5">
        <v>0</v>
      </c>
      <c r="T29" s="5">
        <v>0</v>
      </c>
      <c r="U29" s="5">
        <v>3.2203389999999998E-2</v>
      </c>
      <c r="V29" s="5">
        <v>0</v>
      </c>
      <c r="W29" s="5">
        <v>2.9870130000000002E-2</v>
      </c>
      <c r="X29" s="5">
        <v>0</v>
      </c>
      <c r="Y29" s="5">
        <v>3.3796300000000001E-2</v>
      </c>
      <c r="Z29" s="5">
        <v>0</v>
      </c>
      <c r="AA29" s="5">
        <v>5.8035709999999997E-2</v>
      </c>
      <c r="AB29" s="5">
        <v>2.9807690000000001E-2</v>
      </c>
      <c r="AD29" s="1">
        <f t="shared" si="0"/>
        <v>1.5724368</v>
      </c>
      <c r="AF29" s="7"/>
    </row>
    <row r="30" spans="1:32">
      <c r="A30" s="2" t="s">
        <v>42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2.4687500000000001E-2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4.6067419999999998E-2</v>
      </c>
      <c r="P30" s="5">
        <v>0</v>
      </c>
      <c r="Q30" s="5">
        <v>2.0937500000000001E-2</v>
      </c>
      <c r="R30" s="5">
        <v>2.6562499999999999E-2</v>
      </c>
      <c r="S30" s="5">
        <v>2.4687500000000001E-2</v>
      </c>
      <c r="T30" s="5">
        <v>2.71875E-2</v>
      </c>
      <c r="U30" s="5">
        <v>2.288136E-2</v>
      </c>
      <c r="V30" s="5">
        <v>0</v>
      </c>
      <c r="W30" s="5">
        <v>0</v>
      </c>
      <c r="X30" s="5">
        <v>0</v>
      </c>
      <c r="Y30" s="5">
        <v>2.3611110000000001E-2</v>
      </c>
      <c r="Z30" s="5">
        <v>0</v>
      </c>
      <c r="AA30" s="5">
        <v>0</v>
      </c>
      <c r="AB30" s="5">
        <v>0</v>
      </c>
      <c r="AD30" s="1">
        <f t="shared" si="0"/>
        <v>3.04326235</v>
      </c>
      <c r="AF30" s="7"/>
    </row>
    <row r="31" spans="1:32">
      <c r="A31" s="2" t="s">
        <v>43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-2.5335469999999999E-2</v>
      </c>
      <c r="R31" s="5">
        <v>0</v>
      </c>
      <c r="S31" s="5">
        <v>-2.3383439999999998E-2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D31" s="1">
        <f t="shared" si="0"/>
        <v>-0.91347956249999995</v>
      </c>
      <c r="AF31" s="7"/>
    </row>
    <row r="32" spans="1:32">
      <c r="A32" s="2" t="s">
        <v>44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2.0937500000000001E-2</v>
      </c>
      <c r="O32" s="5">
        <v>0</v>
      </c>
      <c r="P32" s="5">
        <v>1.8987339999999998E-2</v>
      </c>
      <c r="Q32" s="5">
        <v>0</v>
      </c>
      <c r="R32" s="5">
        <v>0</v>
      </c>
      <c r="S32" s="5">
        <v>2.1562499999999998E-2</v>
      </c>
      <c r="T32" s="5">
        <v>0</v>
      </c>
      <c r="U32" s="5">
        <v>0</v>
      </c>
      <c r="V32" s="5">
        <v>2.211538E-2</v>
      </c>
      <c r="W32" s="5">
        <v>2.7272729999999999E-2</v>
      </c>
      <c r="X32" s="5">
        <v>0</v>
      </c>
      <c r="Y32" s="5">
        <v>0</v>
      </c>
      <c r="Z32" s="5">
        <v>2.211538E-2</v>
      </c>
      <c r="AA32" s="5">
        <v>0</v>
      </c>
      <c r="AB32" s="5">
        <v>2.4038460000000001E-2</v>
      </c>
      <c r="AD32" s="1">
        <f t="shared" si="0"/>
        <v>1.5180490250000001</v>
      </c>
      <c r="AF32" s="7"/>
    </row>
    <row r="33" spans="1:32">
      <c r="A33" s="2" t="s">
        <v>391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-2.4913029999999999E-2</v>
      </c>
      <c r="J33" s="5">
        <v>0</v>
      </c>
      <c r="K33" s="5">
        <v>0</v>
      </c>
      <c r="L33" s="5">
        <v>0</v>
      </c>
      <c r="M33" s="5">
        <v>-2.6423579999999999E-2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-2.7622819999999999E-2</v>
      </c>
      <c r="V33" s="5">
        <v>-3.1938639999999997E-2</v>
      </c>
      <c r="W33" s="5">
        <v>-2.6920960000000001E-2</v>
      </c>
      <c r="X33" s="5">
        <v>0</v>
      </c>
      <c r="Y33" s="5">
        <v>-2.797152E-2</v>
      </c>
      <c r="Z33" s="5">
        <v>0</v>
      </c>
      <c r="AA33" s="5">
        <v>-4.1220979999999997E-2</v>
      </c>
      <c r="AB33" s="5">
        <v>0</v>
      </c>
      <c r="AD33" s="1">
        <f t="shared" si="0"/>
        <v>-2.1517780499999999</v>
      </c>
      <c r="AF33" s="7"/>
    </row>
    <row r="34" spans="1:32">
      <c r="A34" s="2" t="s">
        <v>46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D34" s="1">
        <f t="shared" si="0"/>
        <v>0</v>
      </c>
      <c r="AF34" s="7"/>
    </row>
    <row r="35" spans="1:32">
      <c r="A35" s="2" t="s">
        <v>47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D35" s="1">
        <f t="shared" si="0"/>
        <v>0</v>
      </c>
      <c r="AF35" s="7"/>
    </row>
    <row r="36" spans="1:32">
      <c r="A36" s="2" t="s">
        <v>48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1.96875E-2</v>
      </c>
      <c r="K36" s="5">
        <v>0</v>
      </c>
      <c r="L36" s="5">
        <v>2.6562499999999999E-2</v>
      </c>
      <c r="M36" s="5">
        <v>0</v>
      </c>
      <c r="N36" s="5">
        <v>1.90625E-2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2.0833330000000001E-2</v>
      </c>
      <c r="W36" s="5">
        <v>0</v>
      </c>
      <c r="X36" s="5">
        <v>0</v>
      </c>
      <c r="Y36" s="5">
        <v>0</v>
      </c>
      <c r="Z36" s="5">
        <v>1.8910260000000002E-2</v>
      </c>
      <c r="AA36" s="5">
        <v>0</v>
      </c>
      <c r="AB36" s="5">
        <v>0</v>
      </c>
      <c r="AD36" s="1">
        <f t="shared" si="0"/>
        <v>1.12035255</v>
      </c>
      <c r="AF36" s="7"/>
    </row>
    <row r="37" spans="1:32">
      <c r="A37" s="2" t="s">
        <v>49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D37" s="1">
        <f t="shared" si="0"/>
        <v>0</v>
      </c>
      <c r="AF37" s="7"/>
    </row>
    <row r="38" spans="1:32">
      <c r="A38" s="2" t="s">
        <v>50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D38" s="1">
        <f t="shared" si="0"/>
        <v>0</v>
      </c>
      <c r="AF38" s="7"/>
    </row>
    <row r="39" spans="1:32">
      <c r="A39" s="2" t="s">
        <v>51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-2.206638E-2</v>
      </c>
      <c r="R39" s="5">
        <v>-2.5948720000000002E-2</v>
      </c>
      <c r="S39" s="5">
        <v>0</v>
      </c>
      <c r="T39" s="5">
        <v>-1.8759290000000001E-2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D39" s="1">
        <f t="shared" si="0"/>
        <v>-1.2520198125000002</v>
      </c>
      <c r="AF39" s="7"/>
    </row>
    <row r="40" spans="1:32">
      <c r="A40" s="2" t="s">
        <v>52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-3.4395820000000001E-2</v>
      </c>
      <c r="L40" s="5">
        <v>-3.6678639999999998E-2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-3.6845309999999999E-2</v>
      </c>
      <c r="Y40" s="5">
        <v>-2.0386020000000001E-2</v>
      </c>
      <c r="Z40" s="5">
        <v>0</v>
      </c>
      <c r="AA40" s="5">
        <v>0</v>
      </c>
      <c r="AB40" s="5">
        <v>0</v>
      </c>
      <c r="AD40" s="1">
        <f t="shared" si="0"/>
        <v>-0.74345905000000001</v>
      </c>
      <c r="AF40" s="7"/>
    </row>
    <row r="41" spans="1:32">
      <c r="A41" s="2" t="s">
        <v>53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-2.6199030000000002E-2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-2.4167350000000001E-2</v>
      </c>
      <c r="Y41" s="5">
        <v>0</v>
      </c>
      <c r="Z41" s="5">
        <v>0</v>
      </c>
      <c r="AA41" s="5">
        <v>0</v>
      </c>
      <c r="AB41" s="5">
        <v>0</v>
      </c>
      <c r="AD41" s="1">
        <f t="shared" si="0"/>
        <v>-0.2518319</v>
      </c>
      <c r="AF41" s="7"/>
    </row>
    <row r="42" spans="1:32">
      <c r="A42" s="2" t="s">
        <v>54</v>
      </c>
      <c r="B42" s="5">
        <v>0</v>
      </c>
      <c r="C42" s="5">
        <v>2.1755730000000001E-2</v>
      </c>
      <c r="D42" s="5">
        <v>2.2137400000000002E-2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-2.3700929999999999E-2</v>
      </c>
      <c r="R42" s="5">
        <v>-2.1484429999999999E-2</v>
      </c>
      <c r="S42" s="5">
        <v>-2.2833240000000001E-2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D42" s="1">
        <f t="shared" si="0"/>
        <v>-0.8364174499999999</v>
      </c>
      <c r="AF42" s="7"/>
    </row>
    <row r="43" spans="1:32">
      <c r="A43" s="2" t="s">
        <v>55</v>
      </c>
      <c r="B43" s="5">
        <v>2.480916E-2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2.9687499999999999E-2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1.9480520000000001E-2</v>
      </c>
      <c r="X43" s="5">
        <v>3.09375E-2</v>
      </c>
      <c r="Y43" s="5">
        <v>0</v>
      </c>
      <c r="Z43" s="5">
        <v>0</v>
      </c>
      <c r="AA43" s="5">
        <v>0</v>
      </c>
      <c r="AB43" s="5">
        <v>0</v>
      </c>
      <c r="AD43" s="1">
        <f t="shared" si="0"/>
        <v>0.64861919999999995</v>
      </c>
      <c r="AF43" s="7"/>
    </row>
    <row r="44" spans="1:32">
      <c r="A44" s="2" t="s">
        <v>56</v>
      </c>
      <c r="B44" s="5">
        <v>0</v>
      </c>
      <c r="C44" s="5">
        <v>0</v>
      </c>
      <c r="D44" s="5">
        <v>2.251908E-2</v>
      </c>
      <c r="E44" s="5">
        <v>0</v>
      </c>
      <c r="F44" s="5">
        <v>2.1874999999999999E-2</v>
      </c>
      <c r="G44" s="5">
        <v>2.1458330000000001E-2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-2.4790630000000001E-2</v>
      </c>
      <c r="R44" s="5">
        <v>-2.3716569999999999E-2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D44" s="1">
        <f t="shared" si="0"/>
        <v>0.39901404999999995</v>
      </c>
      <c r="AF44" s="7"/>
    </row>
    <row r="45" spans="1:32">
      <c r="A45" s="2" t="s">
        <v>57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D45" s="1">
        <f t="shared" si="0"/>
        <v>0</v>
      </c>
      <c r="AF45" s="7"/>
    </row>
    <row r="46" spans="1:32">
      <c r="A46" s="2" t="s">
        <v>58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2.78125E-2</v>
      </c>
      <c r="K46" s="5">
        <v>0</v>
      </c>
      <c r="L46" s="5">
        <v>0</v>
      </c>
      <c r="M46" s="5">
        <v>0</v>
      </c>
      <c r="N46" s="5">
        <v>2.5312500000000002E-2</v>
      </c>
      <c r="O46" s="5">
        <v>0</v>
      </c>
      <c r="P46" s="5">
        <v>2.8481010000000001E-2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2.0192310000000002E-2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2.211538E-2</v>
      </c>
      <c r="AD46" s="1">
        <f t="shared" si="0"/>
        <v>1.2261791000000002</v>
      </c>
      <c r="AF46" s="7"/>
    </row>
    <row r="47" spans="1:32">
      <c r="A47" s="2" t="s">
        <v>59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-2.8066580000000001E-2</v>
      </c>
      <c r="J47" s="5">
        <v>-2.7705759999999999E-2</v>
      </c>
      <c r="K47" s="5">
        <v>0</v>
      </c>
      <c r="L47" s="5">
        <v>2.2187499999999999E-2</v>
      </c>
      <c r="M47" s="5">
        <v>-1.9899239999999999E-2</v>
      </c>
      <c r="N47" s="5">
        <v>-2.7064899999999999E-2</v>
      </c>
      <c r="O47" s="5">
        <v>-4.9170980000000003E-2</v>
      </c>
      <c r="P47" s="5">
        <v>0</v>
      </c>
      <c r="Q47" s="5">
        <v>1.96875E-2</v>
      </c>
      <c r="R47" s="5">
        <v>2.78125E-2</v>
      </c>
      <c r="S47" s="5">
        <v>0</v>
      </c>
      <c r="T47" s="5">
        <v>2.1562499999999998E-2</v>
      </c>
      <c r="U47" s="5">
        <v>-2.1580330000000002E-2</v>
      </c>
      <c r="V47" s="5">
        <v>-2.9249069999999999E-2</v>
      </c>
      <c r="W47" s="5">
        <v>0</v>
      </c>
      <c r="X47" s="5">
        <v>0</v>
      </c>
      <c r="Y47" s="5">
        <v>0</v>
      </c>
      <c r="Z47" s="5">
        <v>0</v>
      </c>
      <c r="AA47" s="5">
        <v>-4.4453989999999999E-2</v>
      </c>
      <c r="AB47" s="5">
        <v>-3.1328090000000003E-2</v>
      </c>
      <c r="AD47" s="1">
        <f t="shared" si="0"/>
        <v>-1.2875734250000002</v>
      </c>
      <c r="AF47" s="7"/>
    </row>
    <row r="48" spans="1:32">
      <c r="A48" s="2" t="s">
        <v>60</v>
      </c>
      <c r="B48" s="5">
        <v>-2.426878E-2</v>
      </c>
      <c r="C48" s="5">
        <v>-2.7083090000000001E-2</v>
      </c>
      <c r="D48" s="5">
        <v>-2.7424509999999999E-2</v>
      </c>
      <c r="E48" s="5">
        <v>0</v>
      </c>
      <c r="F48" s="5">
        <v>0</v>
      </c>
      <c r="G48" s="5">
        <v>0</v>
      </c>
      <c r="H48" s="5">
        <v>2.229167E-2</v>
      </c>
      <c r="I48" s="5">
        <v>0</v>
      </c>
      <c r="J48" s="5">
        <v>0</v>
      </c>
      <c r="K48" s="5">
        <v>0</v>
      </c>
      <c r="L48" s="5">
        <v>-3.264802E-2</v>
      </c>
      <c r="M48" s="5">
        <v>0</v>
      </c>
      <c r="N48" s="5">
        <v>-2.2953769999999998E-2</v>
      </c>
      <c r="O48" s="5">
        <v>0</v>
      </c>
      <c r="P48" s="5">
        <v>0</v>
      </c>
      <c r="Q48" s="5">
        <v>-1.8797290000000001E-2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-3.2883450000000002E-2</v>
      </c>
      <c r="Y48" s="5">
        <v>0</v>
      </c>
      <c r="Z48" s="5">
        <v>-2.5441829999999999E-2</v>
      </c>
      <c r="AA48" s="5">
        <v>0</v>
      </c>
      <c r="AB48" s="5">
        <v>0</v>
      </c>
      <c r="AD48" s="1">
        <f t="shared" si="0"/>
        <v>-1.3945345875000001</v>
      </c>
      <c r="AF48" s="7"/>
    </row>
    <row r="49" spans="1:32">
      <c r="A49" s="2" t="s">
        <v>61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D49" s="1">
        <f t="shared" si="0"/>
        <v>0</v>
      </c>
      <c r="AF49" s="7"/>
    </row>
    <row r="50" spans="1:32">
      <c r="A50" s="2" t="s">
        <v>62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D50" s="1">
        <f t="shared" si="0"/>
        <v>0</v>
      </c>
      <c r="AF50" s="7"/>
    </row>
    <row r="51" spans="1:32">
      <c r="A51" s="2" t="s">
        <v>63</v>
      </c>
      <c r="B51" s="5">
        <v>0</v>
      </c>
      <c r="C51" s="5">
        <v>0</v>
      </c>
      <c r="D51" s="5">
        <v>0</v>
      </c>
      <c r="E51" s="5">
        <v>0</v>
      </c>
      <c r="F51" s="5">
        <v>-2.121634E-2</v>
      </c>
      <c r="G51" s="5">
        <v>-1.9043669999999999E-2</v>
      </c>
      <c r="H51" s="5">
        <v>-1.880186E-2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-1.7707589999999999E-2</v>
      </c>
      <c r="R51" s="5">
        <v>0</v>
      </c>
      <c r="S51" s="5">
        <v>0</v>
      </c>
      <c r="T51" s="5">
        <v>1.96875E-2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D51" s="1">
        <f t="shared" si="0"/>
        <v>-1.4394234374999999</v>
      </c>
      <c r="AF51" s="7"/>
    </row>
    <row r="52" spans="1:32">
      <c r="A52" s="2" t="s">
        <v>64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D52" s="1">
        <f t="shared" si="0"/>
        <v>0</v>
      </c>
      <c r="AF52" s="7"/>
    </row>
    <row r="53" spans="1:32">
      <c r="A53" s="2" t="s">
        <v>65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D53" s="1">
        <f t="shared" si="0"/>
        <v>0</v>
      </c>
      <c r="AF53" s="7"/>
    </row>
    <row r="54" spans="1:32">
      <c r="A54" s="2" t="s">
        <v>66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D54" s="1">
        <f t="shared" si="0"/>
        <v>0</v>
      </c>
      <c r="AF54" s="7"/>
    </row>
    <row r="55" spans="1:32">
      <c r="A55" s="2" t="s">
        <v>67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2.5312500000000002E-2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2.78125E-2</v>
      </c>
      <c r="Y55" s="5">
        <v>0</v>
      </c>
      <c r="Z55" s="5">
        <v>0</v>
      </c>
      <c r="AA55" s="5">
        <v>0</v>
      </c>
      <c r="AB55" s="5">
        <v>0</v>
      </c>
      <c r="AD55" s="1">
        <f t="shared" si="0"/>
        <v>0.265625</v>
      </c>
      <c r="AF55" s="7"/>
    </row>
    <row r="56" spans="1:32">
      <c r="A56" s="2" t="s">
        <v>68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D56" s="1">
        <f t="shared" si="0"/>
        <v>0</v>
      </c>
      <c r="AF56" s="7"/>
    </row>
    <row r="57" spans="1:32">
      <c r="A57" s="2" t="s">
        <v>69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D57" s="1">
        <f t="shared" si="0"/>
        <v>0</v>
      </c>
      <c r="AF57" s="7"/>
    </row>
    <row r="58" spans="1:32">
      <c r="A58" s="2" t="s">
        <v>70</v>
      </c>
      <c r="B58" s="5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2.1562499999999998E-2</v>
      </c>
      <c r="J58" s="5">
        <v>0</v>
      </c>
      <c r="K58" s="5">
        <v>0</v>
      </c>
      <c r="L58" s="5">
        <v>2.8437500000000001E-2</v>
      </c>
      <c r="M58" s="5">
        <v>2.6562499999999999E-2</v>
      </c>
      <c r="N58" s="5">
        <v>2.5937499999999999E-2</v>
      </c>
      <c r="O58" s="5">
        <v>-4.5818409999999997E-2</v>
      </c>
      <c r="P58" s="5">
        <v>-3.2960450000000002E-2</v>
      </c>
      <c r="Q58" s="5">
        <v>0</v>
      </c>
      <c r="R58" s="5">
        <v>0</v>
      </c>
      <c r="S58" s="5">
        <v>0</v>
      </c>
      <c r="T58" s="5">
        <v>0</v>
      </c>
      <c r="U58" s="5">
        <v>1.694915E-2</v>
      </c>
      <c r="V58" s="5">
        <v>0</v>
      </c>
      <c r="W58" s="5">
        <v>0</v>
      </c>
      <c r="X58" s="5">
        <v>0</v>
      </c>
      <c r="Y58" s="5">
        <v>1.8055559999999998E-2</v>
      </c>
      <c r="Z58" s="5">
        <v>2.6602560000000001E-2</v>
      </c>
      <c r="AA58" s="5">
        <v>0</v>
      </c>
      <c r="AB58" s="5">
        <v>-2.4590859999999999E-2</v>
      </c>
      <c r="AD58" s="1">
        <f t="shared" si="0"/>
        <v>1.1745948499999999</v>
      </c>
      <c r="AF58" s="7"/>
    </row>
    <row r="59" spans="1:32">
      <c r="A59" s="2" t="s">
        <v>71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D59" s="1">
        <f t="shared" si="0"/>
        <v>0</v>
      </c>
      <c r="AF59" s="7"/>
    </row>
    <row r="60" spans="1:32">
      <c r="A60" s="2" t="s">
        <v>72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-2.5750060000000002E-2</v>
      </c>
      <c r="K60" s="5">
        <v>0</v>
      </c>
      <c r="L60" s="5">
        <v>-2.5392899999999999E-2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1.96875E-2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D60" s="1">
        <f t="shared" si="0"/>
        <v>-0.14407477499999999</v>
      </c>
      <c r="AF60" s="7"/>
    </row>
    <row r="61" spans="1:32">
      <c r="A61" s="2" t="s">
        <v>73</v>
      </c>
      <c r="B61" s="5">
        <v>0</v>
      </c>
      <c r="C61" s="5">
        <v>-2.3744080000000001E-2</v>
      </c>
      <c r="D61" s="5">
        <v>-2.6232140000000001E-2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D61" s="1">
        <f t="shared" si="0"/>
        <v>-0.49976220000000005</v>
      </c>
      <c r="AF61" s="7"/>
    </row>
    <row r="62" spans="1:32">
      <c r="A62" s="2" t="s">
        <v>74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2.1562499999999998E-2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D62" s="1">
        <f t="shared" si="0"/>
        <v>0.40429687499999994</v>
      </c>
      <c r="AF62" s="7"/>
    </row>
    <row r="63" spans="1:32">
      <c r="A63" s="2" t="s">
        <v>75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D63" s="1">
        <f t="shared" si="0"/>
        <v>0</v>
      </c>
      <c r="AF63" s="7"/>
    </row>
    <row r="64" spans="1:32">
      <c r="A64" s="2" t="s">
        <v>76</v>
      </c>
      <c r="B64" s="5">
        <v>2.3282440000000001E-2</v>
      </c>
      <c r="C64" s="5">
        <v>2.3282440000000001E-2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D64" s="1">
        <f t="shared" si="0"/>
        <v>0.46564880000000003</v>
      </c>
      <c r="AF64" s="7"/>
    </row>
    <row r="65" spans="1:32">
      <c r="A65" s="2" t="s">
        <v>77</v>
      </c>
      <c r="B65" s="5">
        <v>2.59542E-2</v>
      </c>
      <c r="C65" s="5">
        <v>2.5572520000000001E-2</v>
      </c>
      <c r="D65" s="5">
        <v>2.480916E-2</v>
      </c>
      <c r="E65" s="5">
        <v>0</v>
      </c>
      <c r="F65" s="5">
        <v>0</v>
      </c>
      <c r="G65" s="5">
        <v>0</v>
      </c>
      <c r="H65" s="5">
        <v>0</v>
      </c>
      <c r="I65" s="5">
        <v>1.90625E-2</v>
      </c>
      <c r="J65" s="5">
        <v>2.0937500000000001E-2</v>
      </c>
      <c r="K65" s="5">
        <v>3.09375E-2</v>
      </c>
      <c r="L65" s="5">
        <v>2.5312500000000002E-2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1.7796610000000001E-2</v>
      </c>
      <c r="V65" s="5">
        <v>3.0448719999999999E-2</v>
      </c>
      <c r="W65" s="5">
        <v>0</v>
      </c>
      <c r="X65" s="5">
        <v>3.0312499999999999E-2</v>
      </c>
      <c r="Y65" s="5">
        <v>0</v>
      </c>
      <c r="Z65" s="5">
        <v>2.0192310000000002E-2</v>
      </c>
      <c r="AA65" s="5">
        <v>0</v>
      </c>
      <c r="AB65" s="5">
        <v>0</v>
      </c>
      <c r="AD65" s="1">
        <f t="shared" si="0"/>
        <v>2.72177435</v>
      </c>
      <c r="AF65" s="7"/>
    </row>
    <row r="66" spans="1:32">
      <c r="A66" s="2" t="s">
        <v>78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D66" s="1">
        <f t="shared" si="0"/>
        <v>0</v>
      </c>
      <c r="AF66" s="7"/>
    </row>
    <row r="67" spans="1:32">
      <c r="A67" s="2" t="s">
        <v>79</v>
      </c>
      <c r="B67" s="5">
        <v>2.7862600000000001E-2</v>
      </c>
      <c r="C67" s="5">
        <v>2.8625950000000001E-2</v>
      </c>
      <c r="D67" s="5">
        <v>2.8625950000000001E-2</v>
      </c>
      <c r="E67" s="5">
        <v>0</v>
      </c>
      <c r="F67" s="5">
        <v>-2.19063E-2</v>
      </c>
      <c r="G67" s="5">
        <v>-1.7718899999999999E-2</v>
      </c>
      <c r="H67" s="5">
        <v>2.6875E-2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D67" s="1">
        <f t="shared" si="0"/>
        <v>0.53239000000000003</v>
      </c>
      <c r="AF67" s="7"/>
    </row>
    <row r="68" spans="1:32">
      <c r="A68" s="2" t="s">
        <v>80</v>
      </c>
      <c r="B68" s="5">
        <v>0</v>
      </c>
      <c r="C68" s="5">
        <v>0</v>
      </c>
      <c r="D68" s="5">
        <v>2.4427480000000001E-2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D68" s="1">
        <f t="shared" si="0"/>
        <v>0.24427480000000001</v>
      </c>
      <c r="AF68" s="7"/>
    </row>
    <row r="69" spans="1:32">
      <c r="A69" s="2" t="s">
        <v>81</v>
      </c>
      <c r="B69" s="5">
        <v>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2.5312500000000002E-2</v>
      </c>
      <c r="K69" s="5">
        <v>2.0937500000000001E-2</v>
      </c>
      <c r="L69" s="5">
        <v>0</v>
      </c>
      <c r="M69" s="5">
        <v>0</v>
      </c>
      <c r="N69" s="5">
        <v>2.8437500000000001E-2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2.3397439999999999E-2</v>
      </c>
      <c r="W69" s="5">
        <v>0</v>
      </c>
      <c r="X69" s="5">
        <v>2.5312500000000002E-2</v>
      </c>
      <c r="Y69" s="5">
        <v>0</v>
      </c>
      <c r="Z69" s="5">
        <v>1.9551280000000001E-2</v>
      </c>
      <c r="AA69" s="5">
        <v>0</v>
      </c>
      <c r="AB69" s="5">
        <v>0</v>
      </c>
      <c r="AD69" s="1">
        <f t="shared" ref="AD69:AD132" si="1">+SUMPRODUCT(B69:AB69,$B$1:$AB$1)</f>
        <v>1.4417868999999999</v>
      </c>
      <c r="AF69" s="7"/>
    </row>
    <row r="70" spans="1:32">
      <c r="A70" s="2" t="s">
        <v>82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D70" s="1">
        <f t="shared" si="1"/>
        <v>0</v>
      </c>
      <c r="AF70" s="7"/>
    </row>
    <row r="71" spans="1:32">
      <c r="A71" s="2" t="s">
        <v>83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-2.8478259999999998E-2</v>
      </c>
      <c r="L71" s="5">
        <v>-3.4260270000000002E-2</v>
      </c>
      <c r="M71" s="5">
        <v>0</v>
      </c>
      <c r="N71" s="5">
        <v>0</v>
      </c>
      <c r="O71" s="5">
        <v>0</v>
      </c>
      <c r="P71" s="5">
        <v>0</v>
      </c>
      <c r="Q71" s="5">
        <v>2.9062500000000002E-2</v>
      </c>
      <c r="R71" s="5">
        <v>0</v>
      </c>
      <c r="S71" s="5">
        <v>2.78125E-2</v>
      </c>
      <c r="T71" s="5">
        <v>0</v>
      </c>
      <c r="U71" s="5">
        <v>0</v>
      </c>
      <c r="V71" s="5">
        <v>0</v>
      </c>
      <c r="W71" s="5">
        <v>0</v>
      </c>
      <c r="X71" s="5">
        <v>-3.3675820000000002E-2</v>
      </c>
      <c r="Y71" s="5">
        <v>0</v>
      </c>
      <c r="Z71" s="5">
        <v>0</v>
      </c>
      <c r="AA71" s="5">
        <v>0</v>
      </c>
      <c r="AB71" s="5">
        <v>0</v>
      </c>
      <c r="AD71" s="1">
        <f t="shared" si="1"/>
        <v>0.58433449999999998</v>
      </c>
      <c r="AF71" s="7"/>
    </row>
    <row r="72" spans="1:32">
      <c r="A72" s="2" t="s">
        <v>84</v>
      </c>
      <c r="B72" s="5">
        <v>0</v>
      </c>
      <c r="C72" s="5">
        <v>2.251908E-2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D72" s="1">
        <f t="shared" si="1"/>
        <v>0.2251908</v>
      </c>
      <c r="AF72" s="7"/>
    </row>
    <row r="73" spans="1:32">
      <c r="A73" s="2" t="s">
        <v>85</v>
      </c>
      <c r="B73" s="5">
        <v>2.6717560000000001E-2</v>
      </c>
      <c r="C73" s="5">
        <v>2.366412E-2</v>
      </c>
      <c r="D73" s="5">
        <v>2.2900759999999999E-2</v>
      </c>
      <c r="E73" s="5">
        <v>0</v>
      </c>
      <c r="F73" s="5">
        <v>2.3125E-2</v>
      </c>
      <c r="G73" s="5">
        <v>2.3125E-2</v>
      </c>
      <c r="H73" s="5">
        <v>2.1874999999999999E-2</v>
      </c>
      <c r="I73" s="5">
        <v>0</v>
      </c>
      <c r="J73" s="5">
        <v>2.1562499999999998E-2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2.1518990000000002E-2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2.0192310000000002E-2</v>
      </c>
      <c r="AD73" s="1">
        <f t="shared" si="1"/>
        <v>2.9679434000000002</v>
      </c>
      <c r="AF73" s="7"/>
    </row>
    <row r="74" spans="1:32">
      <c r="A74" s="2" t="s">
        <v>86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D74" s="1">
        <f t="shared" si="1"/>
        <v>0</v>
      </c>
      <c r="AF74" s="7"/>
    </row>
    <row r="75" spans="1:32">
      <c r="A75" s="2" t="s">
        <v>87</v>
      </c>
      <c r="B75" s="5">
        <v>0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D75" s="1">
        <f t="shared" si="1"/>
        <v>0</v>
      </c>
      <c r="AF75" s="7"/>
    </row>
    <row r="76" spans="1:32">
      <c r="A76" s="2" t="s">
        <v>88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D76" s="1">
        <f t="shared" si="1"/>
        <v>0</v>
      </c>
      <c r="AF76" s="7"/>
    </row>
    <row r="77" spans="1:32">
      <c r="A77" s="2" t="s">
        <v>89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2.4687500000000001E-2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D77" s="1">
        <f t="shared" si="1"/>
        <v>0.24687500000000001</v>
      </c>
      <c r="AF77" s="7"/>
    </row>
    <row r="78" spans="1:32">
      <c r="A78" s="2" t="s">
        <v>90</v>
      </c>
      <c r="B78" s="5">
        <v>0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2.4062500000000001E-2</v>
      </c>
      <c r="J78" s="5">
        <v>2.5937499999999999E-2</v>
      </c>
      <c r="K78" s="5">
        <v>0</v>
      </c>
      <c r="L78" s="5">
        <v>0</v>
      </c>
      <c r="M78" s="5">
        <v>0</v>
      </c>
      <c r="N78" s="5">
        <v>0</v>
      </c>
      <c r="O78" s="5">
        <v>4.8314610000000001E-2</v>
      </c>
      <c r="P78" s="5">
        <v>2.5316459999999999E-2</v>
      </c>
      <c r="Q78" s="5">
        <v>0</v>
      </c>
      <c r="R78" s="5">
        <v>0</v>
      </c>
      <c r="S78" s="5">
        <v>0</v>
      </c>
      <c r="T78" s="5">
        <v>0</v>
      </c>
      <c r="U78" s="5">
        <v>2.033898E-2</v>
      </c>
      <c r="V78" s="5">
        <v>2.8525640000000001E-2</v>
      </c>
      <c r="W78" s="5">
        <v>0</v>
      </c>
      <c r="X78" s="5">
        <v>0</v>
      </c>
      <c r="Y78" s="5">
        <v>2.453704E-2</v>
      </c>
      <c r="Z78" s="5">
        <v>2.5320510000000001E-2</v>
      </c>
      <c r="AA78" s="5">
        <v>4.1964290000000001E-2</v>
      </c>
      <c r="AB78" s="5">
        <v>2.9166669999999999E-2</v>
      </c>
      <c r="AD78" s="1">
        <f t="shared" si="1"/>
        <v>2.7053549500000007</v>
      </c>
      <c r="AF78" s="7"/>
    </row>
    <row r="79" spans="1:32">
      <c r="A79" s="2" t="s">
        <v>91</v>
      </c>
      <c r="B79" s="5">
        <v>0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D79" s="1">
        <f t="shared" si="1"/>
        <v>0</v>
      </c>
      <c r="AF79" s="7"/>
    </row>
    <row r="80" spans="1:32">
      <c r="A80" s="2" t="s">
        <v>92</v>
      </c>
      <c r="B80" s="5">
        <v>0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D80" s="1">
        <f t="shared" si="1"/>
        <v>0</v>
      </c>
      <c r="AF80" s="7"/>
    </row>
    <row r="81" spans="1:32">
      <c r="A81" s="2" t="s">
        <v>93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  <c r="AD81" s="1">
        <f t="shared" si="1"/>
        <v>0</v>
      </c>
      <c r="AF81" s="7"/>
    </row>
    <row r="82" spans="1:32">
      <c r="A82" s="2" t="s">
        <v>94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D82" s="1">
        <f t="shared" si="1"/>
        <v>0</v>
      </c>
      <c r="AF82" s="7"/>
    </row>
    <row r="83" spans="1:32">
      <c r="A83" s="2" t="s">
        <v>95</v>
      </c>
      <c r="B83" s="5">
        <v>0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D83" s="1">
        <f t="shared" si="1"/>
        <v>0</v>
      </c>
      <c r="AF83" s="7"/>
    </row>
    <row r="84" spans="1:32">
      <c r="A84" s="2" t="s">
        <v>96</v>
      </c>
      <c r="B84" s="5">
        <v>2.709924E-2</v>
      </c>
      <c r="C84" s="5">
        <v>2.480916E-2</v>
      </c>
      <c r="D84" s="5">
        <v>2.1374049999999999E-2</v>
      </c>
      <c r="E84" s="5">
        <v>0</v>
      </c>
      <c r="F84" s="5">
        <v>0</v>
      </c>
      <c r="G84" s="5">
        <v>0</v>
      </c>
      <c r="H84" s="5">
        <v>-1.6839929999999999E-2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D84" s="1">
        <f t="shared" si="1"/>
        <v>0.31182625000000003</v>
      </c>
      <c r="AF84" s="7"/>
    </row>
    <row r="85" spans="1:32">
      <c r="A85" s="2" t="s">
        <v>97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2.5312500000000002E-2</v>
      </c>
      <c r="J85" s="5">
        <v>2.9062500000000002E-2</v>
      </c>
      <c r="K85" s="5">
        <v>-3.3656129999999999E-2</v>
      </c>
      <c r="L85" s="5">
        <v>-2.9423520000000002E-2</v>
      </c>
      <c r="M85" s="5">
        <v>2.8437500000000001E-2</v>
      </c>
      <c r="N85" s="5">
        <v>2.9687499999999999E-2</v>
      </c>
      <c r="O85" s="5">
        <v>5.280899E-2</v>
      </c>
      <c r="P85" s="5">
        <v>3.0379750000000001E-2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2.5320510000000001E-2</v>
      </c>
      <c r="W85" s="5">
        <v>-2.3929740000000001E-2</v>
      </c>
      <c r="X85" s="5">
        <v>-3.843005E-2</v>
      </c>
      <c r="Y85" s="5">
        <v>0</v>
      </c>
      <c r="Z85" s="5">
        <v>2.4679489999999998E-2</v>
      </c>
      <c r="AA85" s="5">
        <v>0</v>
      </c>
      <c r="AB85" s="5">
        <v>2.5320510000000001E-2</v>
      </c>
      <c r="AD85" s="1">
        <f t="shared" si="1"/>
        <v>1.9388266000000001</v>
      </c>
      <c r="AF85" s="7"/>
    </row>
    <row r="86" spans="1:32">
      <c r="A86" s="2" t="s">
        <v>98</v>
      </c>
      <c r="B86" s="5">
        <v>0</v>
      </c>
      <c r="C86" s="5">
        <v>0</v>
      </c>
      <c r="D86" s="5">
        <v>0</v>
      </c>
      <c r="E86" s="5">
        <v>0</v>
      </c>
      <c r="F86" s="5">
        <v>2.7291670000000001E-2</v>
      </c>
      <c r="G86" s="5">
        <v>2.7291670000000001E-2</v>
      </c>
      <c r="H86" s="5">
        <v>2.4375000000000001E-2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D86" s="1">
        <f t="shared" si="1"/>
        <v>1.9739584999999999</v>
      </c>
      <c r="AF86" s="7"/>
    </row>
    <row r="87" spans="1:32">
      <c r="A87" s="2" t="s">
        <v>99</v>
      </c>
      <c r="B87" s="5">
        <v>0</v>
      </c>
      <c r="C87" s="5">
        <v>0</v>
      </c>
      <c r="D87" s="5">
        <v>0</v>
      </c>
      <c r="E87" s="5">
        <v>0</v>
      </c>
      <c r="F87" s="5">
        <v>2.6458329999999999E-2</v>
      </c>
      <c r="G87" s="5">
        <v>2.6458329999999999E-2</v>
      </c>
      <c r="H87" s="5">
        <v>2.3541670000000001E-2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2.71875E-2</v>
      </c>
      <c r="R87" s="5">
        <v>2.5937499999999999E-2</v>
      </c>
      <c r="S87" s="5">
        <v>2.6562499999999999E-2</v>
      </c>
      <c r="T87" s="5">
        <v>2.2812499999999999E-2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D87" s="1">
        <f t="shared" si="1"/>
        <v>3.8333332499999999</v>
      </c>
      <c r="AF87" s="7"/>
    </row>
    <row r="88" spans="1:32">
      <c r="A88" s="2" t="s">
        <v>100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2.9687499999999999E-2</v>
      </c>
      <c r="J88" s="5">
        <v>-2.314246E-2</v>
      </c>
      <c r="K88" s="5">
        <v>0</v>
      </c>
      <c r="L88" s="5">
        <v>-3.345414E-2</v>
      </c>
      <c r="M88" s="5">
        <v>2.9687499999999999E-2</v>
      </c>
      <c r="N88" s="5">
        <v>0</v>
      </c>
      <c r="O88" s="5">
        <v>0</v>
      </c>
      <c r="P88" s="5">
        <v>-2.1286960000000001E-2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-2.57521E-2</v>
      </c>
      <c r="Y88" s="5">
        <v>1.6203700000000001E-2</v>
      </c>
      <c r="Z88" s="5">
        <v>0</v>
      </c>
      <c r="AA88" s="5">
        <v>0</v>
      </c>
      <c r="AB88" s="5">
        <v>0</v>
      </c>
      <c r="AD88" s="1">
        <f t="shared" si="1"/>
        <v>0.1546216</v>
      </c>
      <c r="AF88" s="7"/>
    </row>
    <row r="89" spans="1:32">
      <c r="A89" s="2" t="s">
        <v>101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D89" s="1">
        <f t="shared" si="1"/>
        <v>0</v>
      </c>
      <c r="AF89" s="7"/>
    </row>
    <row r="90" spans="1:32">
      <c r="A90" s="2" t="s">
        <v>102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D90" s="1">
        <f t="shared" si="1"/>
        <v>0</v>
      </c>
      <c r="AF90" s="7"/>
    </row>
    <row r="91" spans="1:32">
      <c r="A91" s="2" t="s">
        <v>103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I91" s="5">
        <v>-2.1759480000000001E-2</v>
      </c>
      <c r="J91" s="5">
        <v>-2.9661460000000001E-2</v>
      </c>
      <c r="K91" s="5">
        <v>1.96875E-2</v>
      </c>
      <c r="L91" s="5">
        <v>2.4687500000000001E-2</v>
      </c>
      <c r="M91" s="5">
        <v>-2.8380880000000001E-2</v>
      </c>
      <c r="N91" s="5">
        <v>-2.8435269999999999E-2</v>
      </c>
      <c r="O91" s="5">
        <v>0</v>
      </c>
      <c r="P91" s="5">
        <v>-2.5407010000000001E-2</v>
      </c>
      <c r="Q91" s="5">
        <v>0</v>
      </c>
      <c r="R91" s="5">
        <v>0</v>
      </c>
      <c r="S91" s="5">
        <v>0</v>
      </c>
      <c r="T91" s="5">
        <v>1.90625E-2</v>
      </c>
      <c r="U91" s="5">
        <v>-2.3306750000000001E-2</v>
      </c>
      <c r="V91" s="5">
        <v>-2.857668E-2</v>
      </c>
      <c r="W91" s="5">
        <v>2.9220779999999998E-2</v>
      </c>
      <c r="X91" s="5">
        <v>2.34375E-2</v>
      </c>
      <c r="Y91" s="5">
        <v>-2.89197E-2</v>
      </c>
      <c r="Z91" s="5">
        <v>-3.0728439999999999E-2</v>
      </c>
      <c r="AA91" s="5">
        <v>0</v>
      </c>
      <c r="AB91" s="5">
        <v>-2.391714E-2</v>
      </c>
      <c r="AD91" s="1">
        <f t="shared" si="1"/>
        <v>-2.1182409250000003</v>
      </c>
      <c r="AF91" s="7"/>
    </row>
    <row r="92" spans="1:32">
      <c r="A92" s="2" t="s">
        <v>104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D92" s="1">
        <f t="shared" si="1"/>
        <v>0</v>
      </c>
      <c r="AF92" s="7"/>
    </row>
    <row r="93" spans="1:32">
      <c r="A93" s="2" t="s">
        <v>105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D93" s="1">
        <f t="shared" si="1"/>
        <v>0</v>
      </c>
      <c r="AF93" s="7"/>
    </row>
    <row r="94" spans="1:32">
      <c r="A94" s="2" t="s">
        <v>106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2.6562499999999999E-2</v>
      </c>
      <c r="R94" s="5">
        <v>2.34375E-2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D94" s="1">
        <f t="shared" si="1"/>
        <v>0.9375</v>
      </c>
      <c r="AF94" s="7"/>
    </row>
    <row r="95" spans="1:32">
      <c r="A95" s="2" t="s">
        <v>107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D95" s="1">
        <f t="shared" si="1"/>
        <v>0</v>
      </c>
      <c r="AF95" s="7"/>
    </row>
    <row r="96" spans="1:32">
      <c r="A96" s="2" t="s">
        <v>108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2.4687500000000001E-2</v>
      </c>
      <c r="K96" s="5">
        <v>0</v>
      </c>
      <c r="L96" s="5">
        <v>0</v>
      </c>
      <c r="M96" s="5">
        <v>0</v>
      </c>
      <c r="N96" s="5">
        <v>2.2812499999999999E-2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2.627119E-2</v>
      </c>
      <c r="V96" s="5">
        <v>0</v>
      </c>
      <c r="W96" s="5">
        <v>1.8831170000000001E-2</v>
      </c>
      <c r="X96" s="5">
        <v>0</v>
      </c>
      <c r="Y96" s="5">
        <v>0</v>
      </c>
      <c r="Z96" s="5">
        <v>2.3397439999999999E-2</v>
      </c>
      <c r="AA96" s="5">
        <v>0</v>
      </c>
      <c r="AB96" s="5">
        <v>0</v>
      </c>
      <c r="AD96" s="1">
        <f t="shared" si="1"/>
        <v>1.3206355999999999</v>
      </c>
      <c r="AF96" s="7"/>
    </row>
    <row r="97" spans="1:32">
      <c r="A97" s="2" t="s">
        <v>109</v>
      </c>
      <c r="B97" s="5">
        <v>0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-3.0900420000000001E-2</v>
      </c>
      <c r="Q97" s="5">
        <v>2.0312500000000001E-2</v>
      </c>
      <c r="R97" s="5">
        <v>2.5312500000000002E-2</v>
      </c>
      <c r="S97" s="5">
        <v>1.96875E-2</v>
      </c>
      <c r="T97" s="5">
        <v>2.34375E-2</v>
      </c>
      <c r="U97" s="5">
        <v>2.4576270000000001E-2</v>
      </c>
      <c r="V97" s="5">
        <v>0</v>
      </c>
      <c r="W97" s="5">
        <v>0</v>
      </c>
      <c r="X97" s="5">
        <v>0</v>
      </c>
      <c r="Y97" s="5">
        <v>1.8981479999999998E-2</v>
      </c>
      <c r="Z97" s="5">
        <v>0</v>
      </c>
      <c r="AA97" s="5">
        <v>4.7321429999999998E-2</v>
      </c>
      <c r="AB97" s="5">
        <v>0</v>
      </c>
      <c r="AD97" s="1">
        <f t="shared" si="1"/>
        <v>2.3046264000000001</v>
      </c>
      <c r="AF97" s="7"/>
    </row>
    <row r="98" spans="1:32">
      <c r="A98" s="2" t="s">
        <v>110</v>
      </c>
      <c r="B98" s="5">
        <v>0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D98" s="1">
        <f t="shared" si="1"/>
        <v>0</v>
      </c>
      <c r="AF98" s="7"/>
    </row>
    <row r="99" spans="1:32">
      <c r="A99" s="2" t="s">
        <v>111</v>
      </c>
      <c r="B99" s="5">
        <v>-2.2751980000000002E-2</v>
      </c>
      <c r="C99" s="5">
        <v>-2.5599090000000001E-2</v>
      </c>
      <c r="D99" s="5">
        <v>-2.8616880000000001E-2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-2.6506760000000001E-2</v>
      </c>
      <c r="S99" s="5">
        <v>0</v>
      </c>
      <c r="T99" s="5">
        <v>-2.1401440000000001E-2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D99" s="1">
        <f t="shared" si="1"/>
        <v>-1.6679582499999999</v>
      </c>
      <c r="AF99" s="7"/>
    </row>
    <row r="100" spans="1:32">
      <c r="A100" s="2" t="s">
        <v>112</v>
      </c>
      <c r="B100" s="5">
        <v>0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D100" s="1">
        <f t="shared" si="1"/>
        <v>0</v>
      </c>
      <c r="AF100" s="7"/>
    </row>
    <row r="101" spans="1:32">
      <c r="A101" s="2" t="s">
        <v>113</v>
      </c>
      <c r="B101" s="5">
        <v>0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D101" s="1">
        <f t="shared" si="1"/>
        <v>0</v>
      </c>
      <c r="AF101" s="7"/>
    </row>
    <row r="102" spans="1:32">
      <c r="A102" s="2" t="s">
        <v>114</v>
      </c>
      <c r="B102" s="5">
        <v>0</v>
      </c>
      <c r="C102" s="5">
        <v>0</v>
      </c>
      <c r="D102" s="5">
        <v>0</v>
      </c>
      <c r="E102" s="5">
        <v>0</v>
      </c>
      <c r="F102" s="5">
        <v>-2.0526369999999999E-2</v>
      </c>
      <c r="G102" s="5">
        <v>0</v>
      </c>
      <c r="H102" s="5">
        <v>2.4791669999999998E-2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1.9551280000000001E-2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2.0833330000000001E-2</v>
      </c>
      <c r="AD102" s="1">
        <f t="shared" si="1"/>
        <v>0.50406835000000005</v>
      </c>
      <c r="AF102" s="7"/>
    </row>
    <row r="103" spans="1:32">
      <c r="A103" s="2" t="s">
        <v>115</v>
      </c>
      <c r="B103" s="5">
        <v>0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D103" s="1">
        <f t="shared" si="1"/>
        <v>0</v>
      </c>
      <c r="AF103" s="7"/>
    </row>
    <row r="104" spans="1:32">
      <c r="A104" s="2" t="s">
        <v>116</v>
      </c>
      <c r="B104" s="5">
        <v>0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D104" s="1">
        <f t="shared" si="1"/>
        <v>0</v>
      </c>
      <c r="AF104" s="7"/>
    </row>
    <row r="105" spans="1:32">
      <c r="A105" s="2" t="s">
        <v>117</v>
      </c>
      <c r="B105" s="5">
        <v>0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D105" s="1">
        <f t="shared" si="1"/>
        <v>0</v>
      </c>
      <c r="AF105" s="7"/>
    </row>
    <row r="106" spans="1:32">
      <c r="A106" s="2" t="s">
        <v>118</v>
      </c>
      <c r="B106" s="5">
        <v>0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D106" s="1">
        <f t="shared" si="1"/>
        <v>0</v>
      </c>
      <c r="AF106" s="7"/>
    </row>
    <row r="107" spans="1:32">
      <c r="A107" s="2" t="s">
        <v>119</v>
      </c>
      <c r="B107" s="5">
        <v>0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D107" s="1">
        <f t="shared" si="1"/>
        <v>0</v>
      </c>
      <c r="AF107" s="7"/>
    </row>
    <row r="108" spans="1:32">
      <c r="A108" s="2" t="s">
        <v>120</v>
      </c>
      <c r="B108" s="5">
        <v>0</v>
      </c>
      <c r="C108" s="5">
        <v>-2.1889080000000002E-2</v>
      </c>
      <c r="D108" s="5">
        <v>-2.5834679999999999E-2</v>
      </c>
      <c r="E108" s="5">
        <v>0</v>
      </c>
      <c r="F108" s="5">
        <v>2.229167E-2</v>
      </c>
      <c r="G108" s="5">
        <v>2.1041669999999998E-2</v>
      </c>
      <c r="H108" s="5">
        <v>0</v>
      </c>
      <c r="I108" s="5">
        <v>-2.0498059999999999E-2</v>
      </c>
      <c r="J108" s="5">
        <v>0</v>
      </c>
      <c r="K108" s="5">
        <v>-3.1437039999999999E-2</v>
      </c>
      <c r="L108" s="5">
        <v>-3.1035770000000001E-2</v>
      </c>
      <c r="M108" s="5">
        <v>-2.5118709999999999E-2</v>
      </c>
      <c r="N108" s="5">
        <v>-2.3638960000000001E-2</v>
      </c>
      <c r="O108" s="5">
        <v>-5.3641069999999999E-2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-1.726426E-2</v>
      </c>
      <c r="V108" s="5">
        <v>-2.3197539999999999E-2</v>
      </c>
      <c r="W108" s="5">
        <v>-2.8416569999999999E-2</v>
      </c>
      <c r="X108" s="5">
        <v>-3.5260560000000003E-2</v>
      </c>
      <c r="Y108" s="5">
        <v>-1.659327E-2</v>
      </c>
      <c r="Z108" s="5">
        <v>-2.9406789999999999E-2</v>
      </c>
      <c r="AA108" s="5">
        <v>0</v>
      </c>
      <c r="AB108" s="5">
        <v>0</v>
      </c>
      <c r="AD108" s="1">
        <f t="shared" si="1"/>
        <v>-2.1548343500000002</v>
      </c>
      <c r="AF108" s="7"/>
    </row>
    <row r="109" spans="1:32">
      <c r="A109" s="2" t="s">
        <v>121</v>
      </c>
      <c r="B109" s="5">
        <v>0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D109" s="1">
        <f t="shared" si="1"/>
        <v>0</v>
      </c>
      <c r="AF109" s="7"/>
    </row>
    <row r="110" spans="1:32">
      <c r="A110" s="2" t="s">
        <v>122</v>
      </c>
      <c r="B110" s="5">
        <v>0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D110" s="1">
        <f t="shared" si="1"/>
        <v>0</v>
      </c>
      <c r="AF110" s="7"/>
    </row>
    <row r="111" spans="1:32">
      <c r="A111" s="2" t="s">
        <v>123</v>
      </c>
      <c r="B111" s="5">
        <v>0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D111" s="1">
        <f t="shared" si="1"/>
        <v>0</v>
      </c>
      <c r="AF111" s="7"/>
    </row>
    <row r="112" spans="1:32">
      <c r="A112" s="2" t="s">
        <v>124</v>
      </c>
      <c r="B112" s="5">
        <v>0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D112" s="1">
        <f t="shared" si="1"/>
        <v>0</v>
      </c>
      <c r="AF112" s="7"/>
    </row>
    <row r="113" spans="1:32">
      <c r="A113" s="2" t="s">
        <v>125</v>
      </c>
      <c r="B113" s="5">
        <v>0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D113" s="1">
        <f t="shared" si="1"/>
        <v>0</v>
      </c>
      <c r="AF113" s="7"/>
    </row>
    <row r="114" spans="1:32">
      <c r="A114" s="2" t="s">
        <v>126</v>
      </c>
      <c r="B114" s="5">
        <v>0</v>
      </c>
      <c r="C114" s="5">
        <v>0</v>
      </c>
      <c r="D114" s="5">
        <v>0</v>
      </c>
      <c r="E114" s="5">
        <v>0</v>
      </c>
      <c r="F114" s="5">
        <v>2.395833E-2</v>
      </c>
      <c r="G114" s="5">
        <v>2.2708329999999999E-2</v>
      </c>
      <c r="H114" s="5">
        <v>2.1041669999999998E-2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2.0312500000000001E-2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D114" s="1">
        <f t="shared" si="1"/>
        <v>2.0735676249999999</v>
      </c>
      <c r="AF114" s="7"/>
    </row>
    <row r="115" spans="1:32">
      <c r="A115" s="2" t="s">
        <v>127</v>
      </c>
      <c r="B115" s="5">
        <v>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D115" s="1">
        <f t="shared" si="1"/>
        <v>0</v>
      </c>
      <c r="AF115" s="7"/>
    </row>
    <row r="116" spans="1:32">
      <c r="A116" s="2" t="s">
        <v>128</v>
      </c>
      <c r="B116" s="5">
        <v>0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D116" s="1">
        <f t="shared" si="1"/>
        <v>0</v>
      </c>
      <c r="AF116" s="7"/>
    </row>
    <row r="117" spans="1:32">
      <c r="A117" s="2" t="s">
        <v>129</v>
      </c>
      <c r="B117" s="5">
        <v>0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D117" s="1">
        <f t="shared" si="1"/>
        <v>0</v>
      </c>
      <c r="AF117" s="7"/>
    </row>
    <row r="118" spans="1:32">
      <c r="A118" s="2" t="s">
        <v>130</v>
      </c>
      <c r="B118" s="5">
        <v>0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D118" s="1">
        <f t="shared" si="1"/>
        <v>0</v>
      </c>
      <c r="AF118" s="7"/>
    </row>
    <row r="119" spans="1:32">
      <c r="A119" s="2" t="s">
        <v>131</v>
      </c>
      <c r="B119" s="5">
        <v>0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D119" s="1">
        <f t="shared" si="1"/>
        <v>0</v>
      </c>
      <c r="AF119" s="7"/>
    </row>
    <row r="120" spans="1:32">
      <c r="A120" s="2" t="s">
        <v>132</v>
      </c>
      <c r="B120" s="5">
        <v>0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  <c r="AD120" s="1">
        <f t="shared" si="1"/>
        <v>0</v>
      </c>
      <c r="AF120" s="7"/>
    </row>
    <row r="121" spans="1:32">
      <c r="A121" s="2" t="s">
        <v>133</v>
      </c>
      <c r="B121" s="5">
        <v>0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D121" s="1">
        <f t="shared" si="1"/>
        <v>0</v>
      </c>
      <c r="AF121" s="7"/>
    </row>
    <row r="122" spans="1:32">
      <c r="A122" s="2" t="s">
        <v>134</v>
      </c>
      <c r="B122" s="5">
        <v>0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D122" s="1">
        <f t="shared" si="1"/>
        <v>0</v>
      </c>
      <c r="AF122" s="7"/>
    </row>
    <row r="123" spans="1:32">
      <c r="A123" s="2" t="s">
        <v>135</v>
      </c>
      <c r="B123" s="5">
        <v>0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2.2812499999999999E-2</v>
      </c>
      <c r="K123" s="5">
        <v>0</v>
      </c>
      <c r="L123" s="5">
        <v>0</v>
      </c>
      <c r="M123" s="5">
        <v>0</v>
      </c>
      <c r="N123" s="5">
        <v>2.6562499999999999E-2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v>2.1474360000000001E-2</v>
      </c>
      <c r="AD123" s="1">
        <f t="shared" si="1"/>
        <v>0.7151843</v>
      </c>
      <c r="AF123" s="7"/>
    </row>
    <row r="124" spans="1:32">
      <c r="A124" s="2" t="s">
        <v>136</v>
      </c>
      <c r="B124" s="5">
        <v>0</v>
      </c>
      <c r="C124" s="5">
        <v>-2.0776070000000001E-2</v>
      </c>
      <c r="D124" s="5">
        <v>-2.4244849999999998E-2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D124" s="1">
        <f t="shared" si="1"/>
        <v>-0.45020919999999998</v>
      </c>
      <c r="AF124" s="7"/>
    </row>
    <row r="125" spans="1:32">
      <c r="A125" s="2" t="s">
        <v>394</v>
      </c>
      <c r="B125" s="5">
        <v>0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D125" s="1">
        <f t="shared" si="1"/>
        <v>0</v>
      </c>
      <c r="AF125" s="7"/>
    </row>
    <row r="126" spans="1:32">
      <c r="A126" s="2" t="s">
        <v>137</v>
      </c>
      <c r="B126" s="5">
        <v>0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-1.925228E-2</v>
      </c>
      <c r="S126" s="5">
        <v>0</v>
      </c>
      <c r="T126" s="5">
        <v>0</v>
      </c>
      <c r="U126" s="5">
        <v>0</v>
      </c>
      <c r="V126" s="5">
        <v>0</v>
      </c>
      <c r="W126" s="5">
        <v>-2.991218E-2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D126" s="1">
        <f t="shared" si="1"/>
        <v>-0.51054115</v>
      </c>
      <c r="AF126" s="7"/>
    </row>
    <row r="127" spans="1:32">
      <c r="A127" s="2" t="s">
        <v>138</v>
      </c>
      <c r="B127" s="5">
        <v>0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I127" s="5">
        <v>-1.9236639999999999E-2</v>
      </c>
      <c r="J127" s="5">
        <v>0</v>
      </c>
      <c r="K127" s="5">
        <v>0</v>
      </c>
      <c r="L127" s="5">
        <v>0</v>
      </c>
      <c r="M127" s="5">
        <v>-2.0551670000000001E-2</v>
      </c>
      <c r="N127" s="5">
        <v>0</v>
      </c>
      <c r="O127" s="5">
        <v>0</v>
      </c>
      <c r="P127" s="5">
        <v>0</v>
      </c>
      <c r="Q127" s="5">
        <v>2.1562499999999998E-2</v>
      </c>
      <c r="R127" s="5">
        <v>0</v>
      </c>
      <c r="S127" s="5">
        <v>2.8437500000000001E-2</v>
      </c>
      <c r="T127" s="5">
        <v>2.0937500000000001E-2</v>
      </c>
      <c r="U127" s="5">
        <v>-3.107567E-2</v>
      </c>
      <c r="V127" s="5">
        <v>0</v>
      </c>
      <c r="W127" s="5">
        <v>2.2077920000000001E-2</v>
      </c>
      <c r="X127" s="5">
        <v>0</v>
      </c>
      <c r="Y127" s="5">
        <v>-3.1764269999999997E-2</v>
      </c>
      <c r="Z127" s="5">
        <v>0</v>
      </c>
      <c r="AA127" s="5">
        <v>-4.9303520000000003E-2</v>
      </c>
      <c r="AB127" s="5">
        <v>-2.930692E-2</v>
      </c>
      <c r="AD127" s="1">
        <f t="shared" si="1"/>
        <v>-0.23042852500000005</v>
      </c>
      <c r="AF127" s="7"/>
    </row>
    <row r="128" spans="1:32">
      <c r="A128" s="2" t="s">
        <v>139</v>
      </c>
      <c r="B128" s="5">
        <v>0</v>
      </c>
      <c r="C128" s="5">
        <v>0</v>
      </c>
      <c r="D128" s="5">
        <v>0</v>
      </c>
      <c r="E128" s="5">
        <v>0</v>
      </c>
      <c r="F128" s="5">
        <v>2.2708329999999999E-2</v>
      </c>
      <c r="G128" s="5">
        <v>2.229167E-2</v>
      </c>
      <c r="H128" s="5">
        <v>0</v>
      </c>
      <c r="I128" s="5">
        <v>0</v>
      </c>
      <c r="J128" s="5">
        <v>0</v>
      </c>
      <c r="K128" s="5">
        <v>2.0312500000000001E-2</v>
      </c>
      <c r="L128" s="5">
        <v>2.0312500000000001E-2</v>
      </c>
      <c r="M128" s="5">
        <v>0</v>
      </c>
      <c r="N128" s="5">
        <v>0</v>
      </c>
      <c r="O128" s="5">
        <v>0</v>
      </c>
      <c r="P128" s="5">
        <v>-2.6093689999999999E-2</v>
      </c>
      <c r="Q128" s="5">
        <v>3.0312499999999999E-2</v>
      </c>
      <c r="R128" s="5">
        <v>2.8437500000000001E-2</v>
      </c>
      <c r="S128" s="5">
        <v>3.0312499999999999E-2</v>
      </c>
      <c r="T128" s="5">
        <v>2.9687499999999999E-2</v>
      </c>
      <c r="U128" s="5">
        <v>0</v>
      </c>
      <c r="V128" s="5">
        <v>0</v>
      </c>
      <c r="W128" s="5">
        <v>2.0129870000000001E-2</v>
      </c>
      <c r="X128" s="5">
        <v>0</v>
      </c>
      <c r="Y128" s="5">
        <v>0</v>
      </c>
      <c r="Z128" s="5">
        <v>-2.2798519999999999E-2</v>
      </c>
      <c r="AA128" s="5">
        <v>0</v>
      </c>
      <c r="AB128" s="5">
        <v>0</v>
      </c>
      <c r="AD128" s="1">
        <f t="shared" si="1"/>
        <v>3.2968831999999999</v>
      </c>
      <c r="AF128" s="7"/>
    </row>
    <row r="129" spans="1:32">
      <c r="A129" s="2" t="s">
        <v>140</v>
      </c>
      <c r="B129" s="5">
        <v>-2.1235179999999999E-2</v>
      </c>
      <c r="C129" s="5">
        <v>-2.4486089999999999E-2</v>
      </c>
      <c r="D129" s="5">
        <v>-2.265503E-2</v>
      </c>
      <c r="E129" s="5">
        <v>0</v>
      </c>
      <c r="F129" s="5">
        <v>0</v>
      </c>
      <c r="G129" s="5">
        <v>-2.1693230000000001E-2</v>
      </c>
      <c r="H129" s="5">
        <v>-2.109078E-2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D129" s="1">
        <f t="shared" si="1"/>
        <v>-1.75336325</v>
      </c>
      <c r="AF129" s="7"/>
    </row>
    <row r="130" spans="1:32">
      <c r="A130" s="2" t="s">
        <v>141</v>
      </c>
      <c r="B130" s="5">
        <v>0</v>
      </c>
      <c r="C130" s="5">
        <v>0</v>
      </c>
      <c r="D130" s="5">
        <v>0</v>
      </c>
      <c r="E130" s="5">
        <v>0</v>
      </c>
      <c r="F130" s="5">
        <v>-1.8801470000000001E-2</v>
      </c>
      <c r="G130" s="5">
        <v>0</v>
      </c>
      <c r="H130" s="5">
        <v>0</v>
      </c>
      <c r="I130" s="5">
        <v>-2.6805160000000001E-2</v>
      </c>
      <c r="J130" s="5">
        <v>0</v>
      </c>
      <c r="K130" s="5">
        <v>0</v>
      </c>
      <c r="L130" s="5">
        <v>0</v>
      </c>
      <c r="M130" s="5">
        <v>-2.968575E-2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-2.1182639999999999E-2</v>
      </c>
      <c r="T130" s="5">
        <v>-1.9287720000000001E-2</v>
      </c>
      <c r="U130" s="5">
        <v>-3.3665309999999997E-2</v>
      </c>
      <c r="V130" s="5">
        <v>-3.2611029999999999E-2</v>
      </c>
      <c r="W130" s="5">
        <v>2.6623379999999999E-2</v>
      </c>
      <c r="X130" s="5">
        <v>0</v>
      </c>
      <c r="Y130" s="5">
        <v>-3.460883E-2</v>
      </c>
      <c r="Z130" s="5">
        <v>-3.2050090000000003E-2</v>
      </c>
      <c r="AA130" s="5">
        <v>0</v>
      </c>
      <c r="AB130" s="5">
        <v>0</v>
      </c>
      <c r="AD130" s="1">
        <f t="shared" si="1"/>
        <v>-3.4554082999999993</v>
      </c>
      <c r="AF130" s="7"/>
    </row>
    <row r="131" spans="1:32">
      <c r="A131" s="2" t="s">
        <v>142</v>
      </c>
      <c r="B131" s="5">
        <v>0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I131" s="5">
        <v>3.0312499999999999E-2</v>
      </c>
      <c r="J131" s="5">
        <v>-2.835766E-2</v>
      </c>
      <c r="K131" s="5">
        <v>0</v>
      </c>
      <c r="L131" s="5">
        <v>0</v>
      </c>
      <c r="M131" s="5">
        <v>3.09375E-2</v>
      </c>
      <c r="N131" s="5">
        <v>-3.1861210000000001E-2</v>
      </c>
      <c r="O131" s="5">
        <v>0</v>
      </c>
      <c r="P131" s="5">
        <v>-2.6780370000000001E-2</v>
      </c>
      <c r="Q131" s="5">
        <v>0</v>
      </c>
      <c r="R131" s="5">
        <v>0</v>
      </c>
      <c r="S131" s="5">
        <v>0</v>
      </c>
      <c r="T131" s="5">
        <v>0</v>
      </c>
      <c r="U131" s="5">
        <v>2.966102E-2</v>
      </c>
      <c r="V131" s="5">
        <v>0</v>
      </c>
      <c r="W131" s="5">
        <v>0</v>
      </c>
      <c r="X131" s="5">
        <v>0</v>
      </c>
      <c r="Y131" s="5">
        <v>3.1018520000000001E-2</v>
      </c>
      <c r="Z131" s="5">
        <v>0</v>
      </c>
      <c r="AA131" s="5">
        <v>0</v>
      </c>
      <c r="AB131" s="5">
        <v>0</v>
      </c>
      <c r="AD131" s="1">
        <f t="shared" si="1"/>
        <v>0.64128414999999994</v>
      </c>
      <c r="AF131" s="7"/>
    </row>
    <row r="132" spans="1:32">
      <c r="A132" s="2" t="s">
        <v>143</v>
      </c>
      <c r="B132" s="5">
        <v>0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  <c r="AD132" s="1">
        <f t="shared" si="1"/>
        <v>0</v>
      </c>
      <c r="AF132" s="7"/>
    </row>
    <row r="133" spans="1:32">
      <c r="A133" s="2" t="s">
        <v>144</v>
      </c>
      <c r="B133" s="5">
        <v>0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3.0312499999999999E-2</v>
      </c>
      <c r="L133" s="5">
        <v>2.78125E-2</v>
      </c>
      <c r="M133" s="5">
        <v>0</v>
      </c>
      <c r="N133" s="5">
        <v>0</v>
      </c>
      <c r="O133" s="5">
        <v>0</v>
      </c>
      <c r="P133" s="5">
        <v>2.974684E-2</v>
      </c>
      <c r="Q133" s="5">
        <v>0</v>
      </c>
      <c r="R133" s="5">
        <v>2.0312500000000001E-2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2.9687499999999999E-2</v>
      </c>
      <c r="Y133" s="5">
        <v>0</v>
      </c>
      <c r="Z133" s="5">
        <v>2.1474360000000001E-2</v>
      </c>
      <c r="AA133" s="5">
        <v>0</v>
      </c>
      <c r="AB133" s="5">
        <v>1.9551280000000001E-2</v>
      </c>
      <c r="AD133" s="1">
        <f t="shared" ref="AD133:AD196" si="2">+SUMPRODUCT(B133:AB133,$B$1:$AB$1)</f>
        <v>1.2811560749999999</v>
      </c>
      <c r="AF133" s="7"/>
    </row>
    <row r="134" spans="1:32">
      <c r="A134" s="2" t="s">
        <v>145</v>
      </c>
      <c r="B134" s="5">
        <v>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D134" s="1">
        <f t="shared" si="2"/>
        <v>0</v>
      </c>
      <c r="AF134" s="7"/>
    </row>
    <row r="135" spans="1:32">
      <c r="A135" s="2" t="s">
        <v>146</v>
      </c>
      <c r="B135" s="5">
        <v>2.4427480000000001E-2</v>
      </c>
      <c r="C135" s="5">
        <v>2.8244269999999998E-2</v>
      </c>
      <c r="D135" s="5">
        <v>2.8244269999999998E-2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2.4062500000000001E-2</v>
      </c>
      <c r="L135" s="5">
        <v>3.0312499999999999E-2</v>
      </c>
      <c r="M135" s="5">
        <v>-2.3813839999999999E-2</v>
      </c>
      <c r="N135" s="5">
        <v>0</v>
      </c>
      <c r="O135" s="5">
        <v>0</v>
      </c>
      <c r="P135" s="5">
        <v>0</v>
      </c>
      <c r="Q135" s="5">
        <v>2.4687500000000001E-2</v>
      </c>
      <c r="R135" s="5">
        <v>2.9687499999999999E-2</v>
      </c>
      <c r="S135" s="5">
        <v>0</v>
      </c>
      <c r="T135" s="5">
        <v>2.6562499999999999E-2</v>
      </c>
      <c r="U135" s="5">
        <v>0</v>
      </c>
      <c r="V135" s="5">
        <v>0</v>
      </c>
      <c r="W135" s="5">
        <v>0</v>
      </c>
      <c r="X135" s="5">
        <v>1.96875E-2</v>
      </c>
      <c r="Y135" s="5">
        <v>0</v>
      </c>
      <c r="Z135" s="5">
        <v>0</v>
      </c>
      <c r="AA135" s="5">
        <v>0</v>
      </c>
      <c r="AB135" s="5">
        <v>0</v>
      </c>
      <c r="AD135" s="1">
        <f t="shared" si="2"/>
        <v>2.4589124250000003</v>
      </c>
      <c r="AF135" s="7"/>
    </row>
    <row r="136" spans="1:32">
      <c r="A136" s="2" t="s">
        <v>147</v>
      </c>
      <c r="B136" s="5">
        <v>0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D136" s="1">
        <f t="shared" si="2"/>
        <v>0</v>
      </c>
      <c r="AF136" s="7"/>
    </row>
    <row r="137" spans="1:32">
      <c r="A137" s="2" t="s">
        <v>148</v>
      </c>
      <c r="B137" s="5">
        <v>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D137" s="1">
        <f t="shared" si="2"/>
        <v>0</v>
      </c>
      <c r="AF137" s="7"/>
    </row>
    <row r="138" spans="1:32">
      <c r="A138" s="2" t="s">
        <v>149</v>
      </c>
      <c r="B138" s="5">
        <v>0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1.96875E-2</v>
      </c>
      <c r="M138" s="5">
        <v>2.2187499999999999E-2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2.2187499999999999E-2</v>
      </c>
      <c r="T138" s="5">
        <v>2.78125E-2</v>
      </c>
      <c r="U138" s="5">
        <v>2.3728809999999999E-2</v>
      </c>
      <c r="V138" s="5">
        <v>2.7243590000000002E-2</v>
      </c>
      <c r="W138" s="5">
        <v>0</v>
      </c>
      <c r="X138" s="5">
        <v>0</v>
      </c>
      <c r="Y138" s="5">
        <v>2.0833330000000001E-2</v>
      </c>
      <c r="Z138" s="5">
        <v>2.9166669999999999E-2</v>
      </c>
      <c r="AA138" s="5">
        <v>0</v>
      </c>
      <c r="AB138" s="5">
        <v>0</v>
      </c>
      <c r="AD138" s="1">
        <f t="shared" si="2"/>
        <v>2.5223985</v>
      </c>
      <c r="AF138" s="7"/>
    </row>
    <row r="139" spans="1:32">
      <c r="A139" s="2" t="s">
        <v>150</v>
      </c>
      <c r="B139" s="5">
        <v>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2.5937499999999999E-2</v>
      </c>
      <c r="J139" s="5">
        <v>2.8437500000000001E-2</v>
      </c>
      <c r="K139" s="5">
        <v>2.71875E-2</v>
      </c>
      <c r="L139" s="5">
        <v>0</v>
      </c>
      <c r="M139" s="5">
        <v>2.9062500000000002E-2</v>
      </c>
      <c r="N139" s="5">
        <v>2.9062500000000002E-2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2.7118639999999999E-2</v>
      </c>
      <c r="V139" s="5">
        <v>2.2756410000000001E-2</v>
      </c>
      <c r="W139" s="5">
        <v>2.0779220000000001E-2</v>
      </c>
      <c r="X139" s="5">
        <v>2.8437500000000001E-2</v>
      </c>
      <c r="Y139" s="5">
        <v>2.824074E-2</v>
      </c>
      <c r="Z139" s="5">
        <v>2.7243590000000002E-2</v>
      </c>
      <c r="AA139" s="5">
        <v>0</v>
      </c>
      <c r="AB139" s="5">
        <v>0</v>
      </c>
      <c r="AD139" s="1">
        <f t="shared" si="2"/>
        <v>3.0818651500000001</v>
      </c>
      <c r="AF139" s="7"/>
    </row>
    <row r="140" spans="1:32">
      <c r="A140" s="2" t="s">
        <v>151</v>
      </c>
      <c r="B140" s="5">
        <v>0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D140" s="1">
        <f t="shared" si="2"/>
        <v>0</v>
      </c>
      <c r="AF140" s="7"/>
    </row>
    <row r="141" spans="1:32">
      <c r="A141" s="2" t="s">
        <v>152</v>
      </c>
      <c r="B141" s="5">
        <v>0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D141" s="1">
        <f t="shared" si="2"/>
        <v>0</v>
      </c>
      <c r="AF141" s="7"/>
    </row>
    <row r="142" spans="1:32">
      <c r="A142" s="2" t="s">
        <v>153</v>
      </c>
      <c r="B142" s="5">
        <v>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-2.239874E-2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D142" s="1">
        <f t="shared" si="2"/>
        <v>-0.55996849999999998</v>
      </c>
      <c r="AF142" s="7"/>
    </row>
    <row r="143" spans="1:32">
      <c r="A143" s="2" t="s">
        <v>154</v>
      </c>
      <c r="B143" s="5">
        <v>0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D143" s="1">
        <f t="shared" si="2"/>
        <v>0</v>
      </c>
      <c r="AF143" s="7"/>
    </row>
    <row r="144" spans="1:32">
      <c r="A144" s="2" t="s">
        <v>155</v>
      </c>
      <c r="B144" s="5">
        <v>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2.658228E-2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D144" s="1">
        <f t="shared" si="2"/>
        <v>0.13291140000000001</v>
      </c>
      <c r="AF144" s="7"/>
    </row>
    <row r="145" spans="1:32">
      <c r="A145" s="2" t="s">
        <v>156</v>
      </c>
      <c r="B145" s="5">
        <v>0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D145" s="1">
        <f t="shared" si="2"/>
        <v>0</v>
      </c>
      <c r="AF145" s="7"/>
    </row>
    <row r="146" spans="1:32">
      <c r="A146" s="2" t="s">
        <v>157</v>
      </c>
      <c r="B146" s="5">
        <v>-2.1614379999999999E-2</v>
      </c>
      <c r="C146" s="5">
        <v>-2.4857089999999998E-2</v>
      </c>
      <c r="D146" s="5">
        <v>-2.782196E-2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D146" s="1">
        <f t="shared" si="2"/>
        <v>-0.74293429999999994</v>
      </c>
      <c r="AF146" s="7"/>
    </row>
    <row r="147" spans="1:32">
      <c r="A147" s="2" t="s">
        <v>158</v>
      </c>
      <c r="B147" s="5">
        <v>0</v>
      </c>
      <c r="C147" s="5">
        <v>0</v>
      </c>
      <c r="D147" s="5">
        <v>0</v>
      </c>
      <c r="E147" s="5">
        <v>0</v>
      </c>
      <c r="F147" s="5">
        <v>-2.259626E-2</v>
      </c>
      <c r="G147" s="5">
        <v>-2.2024419999999999E-2</v>
      </c>
      <c r="H147" s="5">
        <v>-2.1744759999999998E-2</v>
      </c>
      <c r="I147" s="5">
        <v>-2.869729E-2</v>
      </c>
      <c r="J147" s="5">
        <v>0</v>
      </c>
      <c r="K147" s="5">
        <v>-2.625918E-2</v>
      </c>
      <c r="L147" s="5">
        <v>0</v>
      </c>
      <c r="M147" s="5">
        <v>-2.7728450000000002E-2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-1.6117139999999999E-2</v>
      </c>
      <c r="U147" s="5">
        <v>-2.071711E-2</v>
      </c>
      <c r="V147" s="5">
        <v>0</v>
      </c>
      <c r="W147" s="5">
        <v>0</v>
      </c>
      <c r="X147" s="5">
        <v>0</v>
      </c>
      <c r="Y147" s="5">
        <v>-2.7023330000000002E-2</v>
      </c>
      <c r="Z147" s="5">
        <v>0</v>
      </c>
      <c r="AA147" s="5">
        <v>0</v>
      </c>
      <c r="AB147" s="5">
        <v>0</v>
      </c>
      <c r="AD147" s="1">
        <f t="shared" si="2"/>
        <v>-3.3813620750000002</v>
      </c>
      <c r="AF147" s="7"/>
    </row>
    <row r="148" spans="1:32">
      <c r="A148" s="2" t="s">
        <v>159</v>
      </c>
      <c r="B148" s="5">
        <v>-2.2372779999999998E-2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D148" s="1">
        <f t="shared" si="2"/>
        <v>-0.22372779999999998</v>
      </c>
      <c r="AF148" s="7"/>
    </row>
    <row r="149" spans="1:32">
      <c r="A149" s="2" t="s">
        <v>160</v>
      </c>
      <c r="B149" s="5">
        <v>0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D149" s="1">
        <f t="shared" si="2"/>
        <v>0</v>
      </c>
      <c r="AF149" s="7"/>
    </row>
    <row r="150" spans="1:32">
      <c r="A150" s="2" t="s">
        <v>161</v>
      </c>
      <c r="B150" s="5">
        <v>2.366412E-2</v>
      </c>
      <c r="C150" s="5">
        <v>2.6335879999999999E-2</v>
      </c>
      <c r="D150" s="5">
        <v>2.7862600000000001E-2</v>
      </c>
      <c r="E150" s="5">
        <v>0</v>
      </c>
      <c r="F150" s="5">
        <v>2.1458330000000001E-2</v>
      </c>
      <c r="G150" s="5">
        <v>0</v>
      </c>
      <c r="H150" s="5">
        <v>0</v>
      </c>
      <c r="I150" s="5">
        <v>0</v>
      </c>
      <c r="J150" s="5">
        <v>0</v>
      </c>
      <c r="K150" s="5">
        <v>2.6562499999999999E-2</v>
      </c>
      <c r="L150" s="5">
        <v>2.9687499999999999E-2</v>
      </c>
      <c r="M150" s="5">
        <v>0</v>
      </c>
      <c r="N150" s="5">
        <v>0</v>
      </c>
      <c r="O150" s="5">
        <v>5.1685389999999998E-2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2.4687500000000001E-2</v>
      </c>
      <c r="Y150" s="5">
        <v>0</v>
      </c>
      <c r="Z150" s="5">
        <v>0</v>
      </c>
      <c r="AA150" s="5">
        <v>5.2678570000000001E-2</v>
      </c>
      <c r="AB150" s="5">
        <v>2.4679489999999998E-2</v>
      </c>
      <c r="AD150" s="1">
        <f t="shared" si="2"/>
        <v>2.364989</v>
      </c>
      <c r="AF150" s="7"/>
    </row>
    <row r="151" spans="1:32">
      <c r="A151" s="2" t="s">
        <v>162</v>
      </c>
      <c r="B151" s="5">
        <v>0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D151" s="1">
        <f t="shared" si="2"/>
        <v>0</v>
      </c>
      <c r="AF151" s="7"/>
    </row>
    <row r="152" spans="1:32">
      <c r="A152" s="2" t="s">
        <v>163</v>
      </c>
      <c r="B152" s="5">
        <v>0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D152" s="1">
        <f t="shared" si="2"/>
        <v>0</v>
      </c>
      <c r="AF152" s="7"/>
    </row>
    <row r="153" spans="1:32">
      <c r="A153" s="2" t="s">
        <v>164</v>
      </c>
      <c r="B153" s="5">
        <v>0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2.2708329999999999E-2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-1.7020130000000001E-2</v>
      </c>
      <c r="S153" s="5">
        <v>-1.788145E-2</v>
      </c>
      <c r="T153" s="5">
        <v>-2.0873010000000001E-2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D153" s="1">
        <f t="shared" si="2"/>
        <v>-0.47806531250000012</v>
      </c>
      <c r="AF153" s="7"/>
    </row>
    <row r="154" spans="1:32">
      <c r="A154" s="2" t="s">
        <v>165</v>
      </c>
      <c r="B154" s="5">
        <v>-2.6164779999999999E-2</v>
      </c>
      <c r="C154" s="5">
        <v>0</v>
      </c>
      <c r="D154" s="5">
        <v>0</v>
      </c>
      <c r="E154" s="5">
        <v>0</v>
      </c>
      <c r="F154" s="5">
        <v>-2.2251279999999998E-2</v>
      </c>
      <c r="G154" s="5">
        <v>-2.1362030000000001E-2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D154" s="1">
        <f t="shared" si="2"/>
        <v>-1.3519805499999999</v>
      </c>
      <c r="AF154" s="7"/>
    </row>
    <row r="155" spans="1:32">
      <c r="A155" s="2" t="s">
        <v>166</v>
      </c>
      <c r="B155" s="5">
        <v>0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2.721519E-2</v>
      </c>
      <c r="Q155" s="5">
        <v>2.2187499999999999E-2</v>
      </c>
      <c r="R155" s="5">
        <v>2.71875E-2</v>
      </c>
      <c r="S155" s="5">
        <v>2.71875E-2</v>
      </c>
      <c r="T155" s="5">
        <v>2.5937499999999999E-2</v>
      </c>
      <c r="U155" s="5">
        <v>0</v>
      </c>
      <c r="V155" s="5">
        <v>0</v>
      </c>
      <c r="W155" s="5">
        <v>2.5974029999999999E-2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D155" s="1">
        <f t="shared" si="2"/>
        <v>2.1878210999999999</v>
      </c>
      <c r="AF155" s="7"/>
    </row>
    <row r="156" spans="1:32">
      <c r="A156" s="2" t="s">
        <v>167</v>
      </c>
      <c r="B156" s="5">
        <v>0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I156" s="5">
        <v>-3.1220129999999999E-2</v>
      </c>
      <c r="J156" s="5">
        <v>-3.1617159999999998E-2</v>
      </c>
      <c r="K156" s="5">
        <v>-3.5875209999999998E-2</v>
      </c>
      <c r="L156" s="5">
        <v>-3.5066390000000003E-2</v>
      </c>
      <c r="M156" s="5">
        <v>-3.1643049999999999E-2</v>
      </c>
      <c r="N156" s="5">
        <v>-3.2546400000000003E-2</v>
      </c>
      <c r="O156" s="5">
        <v>-5.4758590000000003E-2</v>
      </c>
      <c r="P156" s="5">
        <v>-3.3647129999999997E-2</v>
      </c>
      <c r="Q156" s="5">
        <v>-2.3156079999999999E-2</v>
      </c>
      <c r="R156" s="5">
        <v>-2.5390679999999999E-2</v>
      </c>
      <c r="S156" s="5">
        <v>-2.4483830000000002E-2</v>
      </c>
      <c r="T156" s="5">
        <v>-2.6157320000000001E-2</v>
      </c>
      <c r="U156" s="5">
        <v>0</v>
      </c>
      <c r="V156" s="5">
        <v>-2.7231890000000002E-2</v>
      </c>
      <c r="W156" s="5">
        <v>-2.3181940000000002E-2</v>
      </c>
      <c r="X156" s="5">
        <v>-3.9222420000000001E-2</v>
      </c>
      <c r="Y156" s="5">
        <v>0</v>
      </c>
      <c r="Z156" s="5">
        <v>-2.742431E-2</v>
      </c>
      <c r="AA156" s="5">
        <v>0</v>
      </c>
      <c r="AB156" s="5">
        <v>-2.8633200000000001E-2</v>
      </c>
      <c r="AD156" s="1">
        <f t="shared" si="2"/>
        <v>-5.3788730124999997</v>
      </c>
      <c r="AF156" s="7"/>
    </row>
    <row r="157" spans="1:32">
      <c r="A157" s="2" t="s">
        <v>168</v>
      </c>
      <c r="B157" s="5">
        <v>0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D157" s="1">
        <f t="shared" si="2"/>
        <v>0</v>
      </c>
      <c r="AF157" s="7"/>
    </row>
    <row r="158" spans="1:32">
      <c r="A158" s="2" t="s">
        <v>169</v>
      </c>
      <c r="B158" s="5">
        <v>0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D158" s="1">
        <f t="shared" si="2"/>
        <v>0</v>
      </c>
      <c r="AF158" s="7"/>
    </row>
    <row r="159" spans="1:32">
      <c r="A159" s="2" t="s">
        <v>170</v>
      </c>
      <c r="B159" s="5">
        <v>0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-1.9867349999999999E-2</v>
      </c>
      <c r="J159" s="5">
        <v>2.34375E-2</v>
      </c>
      <c r="K159" s="5">
        <v>0</v>
      </c>
      <c r="L159" s="5">
        <v>0</v>
      </c>
      <c r="M159" s="5">
        <v>-2.1204110000000002E-2</v>
      </c>
      <c r="N159" s="5">
        <v>2.1562499999999998E-2</v>
      </c>
      <c r="O159" s="5">
        <v>0</v>
      </c>
      <c r="P159" s="5">
        <v>2.341772E-2</v>
      </c>
      <c r="Q159" s="5">
        <v>0</v>
      </c>
      <c r="R159" s="5">
        <v>-1.9810310000000001E-2</v>
      </c>
      <c r="S159" s="5">
        <v>0</v>
      </c>
      <c r="T159" s="5">
        <v>-1.8230860000000002E-2</v>
      </c>
      <c r="U159" s="5">
        <v>-3.1938880000000003E-2</v>
      </c>
      <c r="V159" s="5">
        <v>0</v>
      </c>
      <c r="W159" s="5">
        <v>0</v>
      </c>
      <c r="X159" s="5">
        <v>2.71875E-2</v>
      </c>
      <c r="Y159" s="5">
        <v>-3.2712449999999997E-2</v>
      </c>
      <c r="Z159" s="5">
        <v>0</v>
      </c>
      <c r="AA159" s="5">
        <v>-5.253654E-2</v>
      </c>
      <c r="AB159" s="5">
        <v>0</v>
      </c>
      <c r="AD159" s="1">
        <f t="shared" si="2"/>
        <v>-1.4720000875000001</v>
      </c>
      <c r="AF159" s="7"/>
    </row>
    <row r="160" spans="1:32">
      <c r="A160" s="2" t="s">
        <v>171</v>
      </c>
      <c r="B160" s="5">
        <v>0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D160" s="1">
        <f t="shared" si="2"/>
        <v>0</v>
      </c>
      <c r="AF160" s="7"/>
    </row>
    <row r="161" spans="1:32">
      <c r="A161" s="2" t="s">
        <v>172</v>
      </c>
      <c r="B161" s="5">
        <v>0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I161" s="5">
        <v>-2.9328E-2</v>
      </c>
      <c r="J161" s="5">
        <v>-2.900956E-2</v>
      </c>
      <c r="K161" s="5">
        <v>-3.2916430000000003E-2</v>
      </c>
      <c r="L161" s="5">
        <v>-3.1841899999999999E-2</v>
      </c>
      <c r="M161" s="5">
        <v>-3.0338179999999999E-2</v>
      </c>
      <c r="N161" s="5">
        <v>-2.7750090000000002E-2</v>
      </c>
      <c r="O161" s="5">
        <v>0</v>
      </c>
      <c r="P161" s="5">
        <v>-2.8840399999999999E-2</v>
      </c>
      <c r="Q161" s="5">
        <v>2.5937499999999999E-2</v>
      </c>
      <c r="R161" s="5">
        <v>0</v>
      </c>
      <c r="S161" s="5">
        <v>2.4062500000000001E-2</v>
      </c>
      <c r="T161" s="5">
        <v>0</v>
      </c>
      <c r="U161" s="5">
        <v>-2.9349239999999999E-2</v>
      </c>
      <c r="V161" s="5">
        <v>0</v>
      </c>
      <c r="W161" s="5">
        <v>-3.2903399999999999E-2</v>
      </c>
      <c r="X161" s="5">
        <v>-2.6544470000000001E-2</v>
      </c>
      <c r="Y161" s="5">
        <v>-2.9867890000000001E-2</v>
      </c>
      <c r="Z161" s="5">
        <v>-2.0816040000000001E-2</v>
      </c>
      <c r="AA161" s="5">
        <v>-3.7987960000000001E-2</v>
      </c>
      <c r="AB161" s="5">
        <v>0</v>
      </c>
      <c r="AD161" s="1">
        <f t="shared" si="2"/>
        <v>-2.4206968</v>
      </c>
      <c r="AF161" s="7"/>
    </row>
    <row r="162" spans="1:32">
      <c r="A162" s="2" t="s">
        <v>173</v>
      </c>
      <c r="B162" s="5">
        <v>0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D162" s="1">
        <f t="shared" si="2"/>
        <v>0</v>
      </c>
      <c r="AF162" s="7"/>
    </row>
    <row r="163" spans="1:32">
      <c r="A163" s="2" t="s">
        <v>174</v>
      </c>
      <c r="B163" s="5">
        <v>0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D163" s="1">
        <f t="shared" si="2"/>
        <v>0</v>
      </c>
      <c r="AF163" s="7"/>
    </row>
    <row r="164" spans="1:32">
      <c r="A164" s="2" t="s">
        <v>395</v>
      </c>
      <c r="B164" s="5">
        <v>0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D164" s="1">
        <f t="shared" si="2"/>
        <v>0</v>
      </c>
      <c r="AF164" s="7"/>
    </row>
    <row r="165" spans="1:32">
      <c r="A165" s="2" t="s">
        <v>175</v>
      </c>
      <c r="B165" s="5">
        <v>0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D165" s="1">
        <f t="shared" si="2"/>
        <v>0</v>
      </c>
      <c r="AF165" s="7"/>
    </row>
    <row r="166" spans="1:32">
      <c r="A166" s="2" t="s">
        <v>176</v>
      </c>
      <c r="B166" s="5">
        <v>0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D166" s="1">
        <f t="shared" si="2"/>
        <v>0</v>
      </c>
      <c r="AF166" s="7"/>
    </row>
    <row r="167" spans="1:32">
      <c r="A167" s="2" t="s">
        <v>177</v>
      </c>
      <c r="B167" s="5">
        <v>0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D167" s="1">
        <f t="shared" si="2"/>
        <v>0</v>
      </c>
      <c r="AF167" s="7"/>
    </row>
    <row r="168" spans="1:32">
      <c r="A168" s="2" t="s">
        <v>178</v>
      </c>
      <c r="B168" s="5">
        <v>0</v>
      </c>
      <c r="C168" s="5">
        <v>0</v>
      </c>
      <c r="D168" s="5">
        <v>0</v>
      </c>
      <c r="E168" s="5">
        <v>0</v>
      </c>
      <c r="F168" s="5">
        <v>2.4375000000000001E-2</v>
      </c>
      <c r="G168" s="5">
        <v>2.4375000000000001E-2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D168" s="1">
        <f t="shared" si="2"/>
        <v>1.21875</v>
      </c>
      <c r="AF168" s="7"/>
    </row>
    <row r="169" spans="1:32">
      <c r="A169" s="2" t="s">
        <v>179</v>
      </c>
      <c r="B169" s="5">
        <v>0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D169" s="1">
        <f t="shared" si="2"/>
        <v>0</v>
      </c>
      <c r="AF169" s="7"/>
    </row>
    <row r="170" spans="1:32">
      <c r="A170" s="2" t="s">
        <v>180</v>
      </c>
      <c r="B170" s="5">
        <v>0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D170" s="1">
        <f t="shared" si="2"/>
        <v>0</v>
      </c>
      <c r="AF170" s="7"/>
    </row>
    <row r="171" spans="1:32">
      <c r="A171" s="2" t="s">
        <v>181</v>
      </c>
      <c r="B171" s="5">
        <v>0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D171" s="1">
        <f t="shared" si="2"/>
        <v>0</v>
      </c>
      <c r="AF171" s="7"/>
    </row>
    <row r="172" spans="1:32">
      <c r="A172" s="2" t="s">
        <v>182</v>
      </c>
      <c r="B172" s="5">
        <v>2.5190839999999999E-2</v>
      </c>
      <c r="C172" s="5">
        <v>2.6717560000000001E-2</v>
      </c>
      <c r="D172" s="5">
        <v>2.7480919999999999E-2</v>
      </c>
      <c r="E172" s="5">
        <v>0</v>
      </c>
      <c r="F172" s="5">
        <v>0</v>
      </c>
      <c r="G172" s="5">
        <v>0</v>
      </c>
      <c r="H172" s="5">
        <v>-2.010982E-2</v>
      </c>
      <c r="I172" s="5">
        <v>-3.0589419999999999E-2</v>
      </c>
      <c r="J172" s="5">
        <v>-3.2269060000000002E-2</v>
      </c>
      <c r="K172" s="5">
        <v>-3.5135520000000003E-2</v>
      </c>
      <c r="L172" s="5">
        <v>-3.5872519999999998E-2</v>
      </c>
      <c r="M172" s="5">
        <v>-3.099062E-2</v>
      </c>
      <c r="N172" s="5">
        <v>-3.3231579999999997E-2</v>
      </c>
      <c r="O172" s="5">
        <v>-5.02885E-2</v>
      </c>
      <c r="P172" s="5">
        <v>-3.2273780000000002E-2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-2.790428E-2</v>
      </c>
      <c r="W172" s="5">
        <v>0</v>
      </c>
      <c r="X172" s="5">
        <v>-3.1298699999999999E-2</v>
      </c>
      <c r="Y172" s="5">
        <v>0</v>
      </c>
      <c r="Z172" s="5">
        <v>-2.8745960000000001E-2</v>
      </c>
      <c r="AA172" s="5">
        <v>0</v>
      </c>
      <c r="AB172" s="5">
        <v>-2.7285750000000001E-2</v>
      </c>
      <c r="AD172" s="1">
        <f t="shared" si="2"/>
        <v>-3.0607491499999995</v>
      </c>
      <c r="AF172" s="7"/>
    </row>
    <row r="173" spans="1:32">
      <c r="A173" s="2" t="s">
        <v>183</v>
      </c>
      <c r="B173" s="5">
        <v>0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D173" s="1">
        <f t="shared" si="2"/>
        <v>0</v>
      </c>
      <c r="AF173" s="7"/>
    </row>
    <row r="174" spans="1:32">
      <c r="A174" s="2" t="s">
        <v>184</v>
      </c>
      <c r="B174" s="5">
        <v>2.251908E-2</v>
      </c>
      <c r="C174" s="5">
        <v>2.4427480000000001E-2</v>
      </c>
      <c r="D174" s="5">
        <v>2.6335879999999999E-2</v>
      </c>
      <c r="E174" s="5">
        <v>0</v>
      </c>
      <c r="F174" s="5">
        <v>0</v>
      </c>
      <c r="G174" s="5">
        <v>0</v>
      </c>
      <c r="H174" s="5">
        <v>0</v>
      </c>
      <c r="I174" s="5">
        <v>2.2187499999999999E-2</v>
      </c>
      <c r="J174" s="5">
        <v>0</v>
      </c>
      <c r="K174" s="5">
        <v>2.2187499999999999E-2</v>
      </c>
      <c r="L174" s="5">
        <v>2.1562499999999998E-2</v>
      </c>
      <c r="M174" s="5">
        <v>2.71875E-2</v>
      </c>
      <c r="N174" s="5">
        <v>0</v>
      </c>
      <c r="O174" s="5">
        <v>0</v>
      </c>
      <c r="P174" s="5">
        <v>0</v>
      </c>
      <c r="Q174" s="5">
        <v>0</v>
      </c>
      <c r="R174" s="5">
        <v>2.4687500000000001E-2</v>
      </c>
      <c r="S174" s="5">
        <v>0</v>
      </c>
      <c r="T174" s="5">
        <v>0</v>
      </c>
      <c r="U174" s="5">
        <v>2.7966100000000001E-2</v>
      </c>
      <c r="V174" s="5">
        <v>0</v>
      </c>
      <c r="W174" s="5">
        <v>2.5324679999999999E-2</v>
      </c>
      <c r="X174" s="5">
        <v>2.0937500000000001E-2</v>
      </c>
      <c r="Y174" s="5">
        <v>2.7314809999999998E-2</v>
      </c>
      <c r="Z174" s="5">
        <v>0</v>
      </c>
      <c r="AA174" s="5">
        <v>0</v>
      </c>
      <c r="AB174" s="5">
        <v>0</v>
      </c>
      <c r="AD174" s="1">
        <f t="shared" si="2"/>
        <v>2.9431030250000001</v>
      </c>
      <c r="AF174" s="7"/>
    </row>
    <row r="175" spans="1:32">
      <c r="A175" s="2" t="s">
        <v>185</v>
      </c>
      <c r="B175" s="5">
        <v>0</v>
      </c>
      <c r="C175" s="5">
        <v>0</v>
      </c>
      <c r="D175" s="5">
        <v>0</v>
      </c>
      <c r="E175" s="5">
        <v>0</v>
      </c>
      <c r="F175" s="5">
        <v>0</v>
      </c>
      <c r="G175" s="5">
        <v>-1.8050090000000001E-2</v>
      </c>
      <c r="H175" s="5">
        <v>0</v>
      </c>
      <c r="I175" s="5">
        <v>0</v>
      </c>
      <c r="J175" s="5">
        <v>0</v>
      </c>
      <c r="K175" s="5">
        <v>2.5937499999999999E-2</v>
      </c>
      <c r="L175" s="5">
        <v>2.9062500000000002E-2</v>
      </c>
      <c r="M175" s="5">
        <v>0</v>
      </c>
      <c r="N175" s="5">
        <v>0</v>
      </c>
      <c r="O175" s="5">
        <v>0</v>
      </c>
      <c r="P175" s="5">
        <v>0</v>
      </c>
      <c r="Q175" s="5">
        <v>-2.0976680000000001E-2</v>
      </c>
      <c r="R175" s="5">
        <v>-1.7578170000000001E-2</v>
      </c>
      <c r="S175" s="5">
        <v>-2.5584229999999999E-2</v>
      </c>
      <c r="T175" s="5">
        <v>-2.1929870000000001E-2</v>
      </c>
      <c r="U175" s="5">
        <v>-2.675961E-2</v>
      </c>
      <c r="V175" s="5">
        <v>0</v>
      </c>
      <c r="W175" s="5">
        <v>0</v>
      </c>
      <c r="X175" s="5">
        <v>0</v>
      </c>
      <c r="Y175" s="5">
        <v>2.2685190000000001E-2</v>
      </c>
      <c r="Z175" s="5">
        <v>0</v>
      </c>
      <c r="AA175" s="5">
        <v>-3.9604470000000003E-2</v>
      </c>
      <c r="AB175" s="5">
        <v>-2.2569700000000002E-2</v>
      </c>
      <c r="AD175" s="1">
        <f t="shared" si="2"/>
        <v>-2.2754581625000005</v>
      </c>
      <c r="AF175" s="7"/>
    </row>
    <row r="176" spans="1:32">
      <c r="A176" s="2" t="s">
        <v>186</v>
      </c>
      <c r="B176" s="5">
        <v>0</v>
      </c>
      <c r="C176" s="5">
        <v>0</v>
      </c>
      <c r="D176" s="5">
        <v>0</v>
      </c>
      <c r="E176" s="5">
        <v>0</v>
      </c>
      <c r="F176" s="5">
        <v>-2.397618E-2</v>
      </c>
      <c r="G176" s="5">
        <v>-2.3018009999999998E-2</v>
      </c>
      <c r="H176" s="5">
        <v>-2.2071750000000001E-2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2.9687499999999999E-2</v>
      </c>
      <c r="R176" s="5">
        <v>3.0312499999999999E-2</v>
      </c>
      <c r="S176" s="5">
        <v>0</v>
      </c>
      <c r="T176" s="5">
        <v>2.8437500000000001E-2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D176" s="1">
        <f t="shared" si="2"/>
        <v>-6.844537500000003E-2</v>
      </c>
      <c r="AF176" s="7"/>
    </row>
    <row r="177" spans="1:32">
      <c r="A177" s="2" t="s">
        <v>187</v>
      </c>
      <c r="B177" s="5">
        <v>0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D177" s="1">
        <f t="shared" si="2"/>
        <v>0</v>
      </c>
      <c r="AF177" s="7"/>
    </row>
    <row r="178" spans="1:32">
      <c r="A178" s="2" t="s">
        <v>188</v>
      </c>
      <c r="B178" s="5">
        <v>0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D178" s="1">
        <f t="shared" si="2"/>
        <v>0</v>
      </c>
      <c r="AF178" s="7"/>
    </row>
    <row r="179" spans="1:32">
      <c r="A179" s="2" t="s">
        <v>189</v>
      </c>
      <c r="B179" s="5">
        <v>0</v>
      </c>
      <c r="C179" s="5">
        <v>0</v>
      </c>
      <c r="D179" s="5">
        <v>0</v>
      </c>
      <c r="E179" s="5">
        <v>0</v>
      </c>
      <c r="F179" s="5">
        <v>0</v>
      </c>
      <c r="G179" s="5">
        <v>2.1874999999999999E-2</v>
      </c>
      <c r="H179" s="5">
        <v>0</v>
      </c>
      <c r="I179" s="5">
        <v>2.0312500000000001E-2</v>
      </c>
      <c r="J179" s="5">
        <v>0</v>
      </c>
      <c r="K179" s="5">
        <v>0</v>
      </c>
      <c r="L179" s="5">
        <v>0</v>
      </c>
      <c r="M179" s="5">
        <v>2.5312500000000002E-2</v>
      </c>
      <c r="N179" s="5">
        <v>0</v>
      </c>
      <c r="O179" s="5">
        <v>0</v>
      </c>
      <c r="P179" s="5">
        <v>-2.1973630000000001E-2</v>
      </c>
      <c r="Q179" s="5">
        <v>2.8437500000000001E-2</v>
      </c>
      <c r="R179" s="5">
        <v>2.4062500000000001E-2</v>
      </c>
      <c r="S179" s="5">
        <v>2.9687499999999999E-2</v>
      </c>
      <c r="T179" s="5">
        <v>2.9062500000000002E-2</v>
      </c>
      <c r="U179" s="5">
        <v>2.8813559999999998E-2</v>
      </c>
      <c r="V179" s="5">
        <v>0</v>
      </c>
      <c r="W179" s="5">
        <v>2.2727270000000001E-2</v>
      </c>
      <c r="X179" s="5">
        <v>0</v>
      </c>
      <c r="Y179" s="5">
        <v>2.9166669999999999E-2</v>
      </c>
      <c r="Z179" s="5">
        <v>2.9807690000000001E-2</v>
      </c>
      <c r="AA179" s="5">
        <v>0</v>
      </c>
      <c r="AB179" s="5">
        <v>0</v>
      </c>
      <c r="AD179" s="1">
        <f t="shared" si="2"/>
        <v>4.2163402000000003</v>
      </c>
      <c r="AF179" s="7"/>
    </row>
    <row r="180" spans="1:32">
      <c r="A180" s="2" t="s">
        <v>190</v>
      </c>
      <c r="B180" s="5">
        <v>-2.843998E-2</v>
      </c>
      <c r="C180" s="5">
        <v>-2.7825099999999998E-2</v>
      </c>
      <c r="D180" s="5">
        <v>-2.8219419999999999E-2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  <c r="AA180" s="5">
        <v>0</v>
      </c>
      <c r="AB180" s="5">
        <v>0</v>
      </c>
      <c r="AD180" s="1">
        <f t="shared" si="2"/>
        <v>-0.84484499999999985</v>
      </c>
      <c r="AF180" s="7"/>
    </row>
    <row r="181" spans="1:32">
      <c r="A181" s="2" t="s">
        <v>191</v>
      </c>
      <c r="B181" s="5">
        <v>0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D181" s="1">
        <f t="shared" si="2"/>
        <v>0</v>
      </c>
      <c r="AF181" s="7"/>
    </row>
    <row r="182" spans="1:32">
      <c r="A182" s="2" t="s">
        <v>192</v>
      </c>
      <c r="B182" s="5">
        <v>0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D182" s="1">
        <f t="shared" si="2"/>
        <v>0</v>
      </c>
      <c r="AF182" s="7"/>
    </row>
    <row r="183" spans="1:32">
      <c r="A183" s="2" t="s">
        <v>193</v>
      </c>
      <c r="B183" s="5">
        <v>0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D183" s="1">
        <f t="shared" si="2"/>
        <v>0</v>
      </c>
      <c r="AF183" s="7"/>
    </row>
    <row r="184" spans="1:32">
      <c r="A184" s="2" t="s">
        <v>194</v>
      </c>
      <c r="B184" s="5">
        <v>-2.3510380000000001E-2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D184" s="1">
        <f t="shared" si="2"/>
        <v>-0.2351038</v>
      </c>
      <c r="AF184" s="7"/>
    </row>
    <row r="185" spans="1:32">
      <c r="A185" s="2" t="s">
        <v>389</v>
      </c>
      <c r="B185" s="5">
        <v>2.2900759999999999E-2</v>
      </c>
      <c r="C185" s="5">
        <v>2.4045799999999999E-2</v>
      </c>
      <c r="D185" s="5">
        <v>2.5572520000000001E-2</v>
      </c>
      <c r="E185" s="5">
        <v>0</v>
      </c>
      <c r="F185" s="5">
        <v>-2.087135E-2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-1.661789E-2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D185" s="1">
        <f t="shared" si="2"/>
        <v>-0.10817838749999997</v>
      </c>
      <c r="AF185" s="7"/>
    </row>
    <row r="186" spans="1:32">
      <c r="A186" s="2" t="s">
        <v>196</v>
      </c>
      <c r="B186" s="5">
        <v>0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D186" s="1">
        <f t="shared" si="2"/>
        <v>0</v>
      </c>
      <c r="AF186" s="7"/>
    </row>
    <row r="187" spans="1:32">
      <c r="A187" s="2" t="s">
        <v>197</v>
      </c>
      <c r="B187" s="5">
        <v>-2.1993579999999999E-2</v>
      </c>
      <c r="C187" s="5">
        <v>0</v>
      </c>
      <c r="D187" s="5">
        <v>0</v>
      </c>
      <c r="E187" s="5">
        <v>0</v>
      </c>
      <c r="F187" s="5">
        <v>-1.7421539999999999E-2</v>
      </c>
      <c r="G187" s="5">
        <v>0</v>
      </c>
      <c r="H187" s="5">
        <v>-1.7166919999999999E-2</v>
      </c>
      <c r="I187" s="5">
        <v>0</v>
      </c>
      <c r="J187" s="5">
        <v>-2.4446260000000001E-2</v>
      </c>
      <c r="K187" s="5">
        <v>-2.4779789999999999E-2</v>
      </c>
      <c r="L187" s="5">
        <v>0</v>
      </c>
      <c r="M187" s="5">
        <v>0</v>
      </c>
      <c r="N187" s="5">
        <v>-2.089821E-2</v>
      </c>
      <c r="O187" s="5">
        <v>0</v>
      </c>
      <c r="P187" s="5">
        <v>-2.3346990000000001E-2</v>
      </c>
      <c r="Q187" s="5">
        <v>-2.1521530000000001E-2</v>
      </c>
      <c r="R187" s="5">
        <v>-2.036835E-2</v>
      </c>
      <c r="S187" s="5">
        <v>-2.5034029999999999E-2</v>
      </c>
      <c r="T187" s="5">
        <v>-2.2986739999999999E-2</v>
      </c>
      <c r="U187" s="5">
        <v>0</v>
      </c>
      <c r="V187" s="5">
        <v>-1.9835579999999998E-2</v>
      </c>
      <c r="W187" s="5">
        <v>-2.5425349999999999E-2</v>
      </c>
      <c r="X187" s="5">
        <v>-2.9713960000000001E-2</v>
      </c>
      <c r="Y187" s="5">
        <v>0</v>
      </c>
      <c r="Z187" s="5">
        <v>-2.015521E-2</v>
      </c>
      <c r="AA187" s="5">
        <v>0</v>
      </c>
      <c r="AB187" s="5">
        <v>0</v>
      </c>
      <c r="AD187" s="1">
        <f t="shared" si="2"/>
        <v>-4.3615642375000006</v>
      </c>
      <c r="AF187" s="7"/>
    </row>
    <row r="188" spans="1:32">
      <c r="A188" s="2" t="s">
        <v>198</v>
      </c>
      <c r="B188" s="5">
        <v>0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D188" s="1">
        <f t="shared" si="2"/>
        <v>0</v>
      </c>
      <c r="AF188" s="7"/>
    </row>
    <row r="189" spans="1:32">
      <c r="A189" s="2" t="s">
        <v>199</v>
      </c>
      <c r="B189" s="5">
        <v>0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-1.9342140000000001E-2</v>
      </c>
      <c r="R189" s="5">
        <v>0</v>
      </c>
      <c r="S189" s="5">
        <v>-1.8431650000000001E-2</v>
      </c>
      <c r="T189" s="5">
        <v>0</v>
      </c>
      <c r="U189" s="5">
        <v>-2.5896389999999998E-2</v>
      </c>
      <c r="V189" s="5">
        <v>-3.0593849999999999E-2</v>
      </c>
      <c r="W189" s="5">
        <v>2.8571429999999998E-2</v>
      </c>
      <c r="X189" s="5">
        <v>0</v>
      </c>
      <c r="Y189" s="5">
        <v>-2.512696E-2</v>
      </c>
      <c r="Z189" s="5">
        <v>0</v>
      </c>
      <c r="AA189" s="5">
        <v>0</v>
      </c>
      <c r="AB189" s="5">
        <v>0</v>
      </c>
      <c r="AD189" s="1">
        <f t="shared" si="2"/>
        <v>-1.6640246125</v>
      </c>
      <c r="AF189" s="7"/>
    </row>
    <row r="190" spans="1:32">
      <c r="A190" s="2" t="s">
        <v>200</v>
      </c>
      <c r="B190" s="5">
        <v>0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-2.3794360000000001E-2</v>
      </c>
      <c r="K190" s="5">
        <v>-3.2176740000000002E-2</v>
      </c>
      <c r="L190" s="5">
        <v>-3.9097010000000001E-2</v>
      </c>
      <c r="M190" s="5">
        <v>0</v>
      </c>
      <c r="N190" s="5">
        <v>-2.1583399999999999E-2</v>
      </c>
      <c r="O190" s="5">
        <v>0</v>
      </c>
      <c r="P190" s="5">
        <v>-2.9527069999999999E-2</v>
      </c>
      <c r="Q190" s="5">
        <v>0</v>
      </c>
      <c r="R190" s="5">
        <v>0</v>
      </c>
      <c r="S190" s="5">
        <v>-2.0082249999999999E-2</v>
      </c>
      <c r="T190" s="5">
        <v>0</v>
      </c>
      <c r="U190" s="5">
        <v>0</v>
      </c>
      <c r="V190" s="5">
        <v>-2.050797E-2</v>
      </c>
      <c r="W190" s="5">
        <v>-3.2155589999999998E-2</v>
      </c>
      <c r="X190" s="5">
        <v>-2.892159E-2</v>
      </c>
      <c r="Y190" s="5">
        <v>0</v>
      </c>
      <c r="Z190" s="5">
        <v>-2.1476869999999999E-2</v>
      </c>
      <c r="AA190" s="5">
        <v>0</v>
      </c>
      <c r="AB190" s="5">
        <v>-2.1895970000000001E-2</v>
      </c>
      <c r="AD190" s="1">
        <f t="shared" si="2"/>
        <v>-2.3905496875000001</v>
      </c>
      <c r="AF190" s="7"/>
    </row>
    <row r="191" spans="1:32">
      <c r="A191" s="2" t="s">
        <v>392</v>
      </c>
      <c r="B191" s="5">
        <v>0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5.5056180000000003E-2</v>
      </c>
      <c r="P191" s="5">
        <v>3.1012660000000001E-2</v>
      </c>
      <c r="Q191" s="5">
        <v>-2.261123E-2</v>
      </c>
      <c r="R191" s="5">
        <v>0</v>
      </c>
      <c r="S191" s="5">
        <v>-2.228304E-2</v>
      </c>
      <c r="T191" s="5">
        <v>0</v>
      </c>
      <c r="U191" s="5">
        <v>3.305085E-2</v>
      </c>
      <c r="V191" s="5">
        <v>3.1089740000000001E-2</v>
      </c>
      <c r="W191" s="5">
        <v>-2.7668760000000001E-2</v>
      </c>
      <c r="X191" s="5">
        <v>0</v>
      </c>
      <c r="Y191" s="5">
        <v>0</v>
      </c>
      <c r="Z191" s="5">
        <v>0</v>
      </c>
      <c r="AA191" s="5">
        <v>5.6250000000000001E-2</v>
      </c>
      <c r="AB191" s="5">
        <v>3.1089740000000001E-2</v>
      </c>
      <c r="AD191" s="1">
        <f t="shared" si="2"/>
        <v>0.84904038749999999</v>
      </c>
      <c r="AF191" s="7"/>
    </row>
    <row r="192" spans="1:32">
      <c r="A192" s="2" t="s">
        <v>393</v>
      </c>
      <c r="B192" s="5">
        <v>0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2.4062500000000001E-2</v>
      </c>
      <c r="K192" s="5">
        <v>0</v>
      </c>
      <c r="L192" s="5">
        <v>2.34375E-2</v>
      </c>
      <c r="M192" s="5">
        <v>0</v>
      </c>
      <c r="N192" s="5">
        <v>2.4062500000000001E-2</v>
      </c>
      <c r="O192" s="5">
        <v>0</v>
      </c>
      <c r="P192" s="5">
        <v>2.0886080000000001E-2</v>
      </c>
      <c r="Q192" s="5">
        <v>0</v>
      </c>
      <c r="R192" s="5">
        <v>0</v>
      </c>
      <c r="S192" s="5">
        <v>2.0937500000000001E-2</v>
      </c>
      <c r="T192" s="5">
        <v>2.4062500000000001E-2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  <c r="AD192" s="1">
        <f t="shared" si="2"/>
        <v>1.6669304</v>
      </c>
      <c r="AF192" s="7"/>
    </row>
    <row r="193" spans="1:32">
      <c r="A193" s="2" t="s">
        <v>203</v>
      </c>
      <c r="B193" s="5">
        <v>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D193" s="1">
        <f t="shared" si="2"/>
        <v>0</v>
      </c>
      <c r="AF193" s="7"/>
    </row>
    <row r="194" spans="1:32">
      <c r="A194" s="2" t="s">
        <v>204</v>
      </c>
      <c r="B194" s="5">
        <v>0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D194" s="1">
        <f t="shared" si="2"/>
        <v>0</v>
      </c>
      <c r="AF194" s="7"/>
    </row>
    <row r="195" spans="1:32">
      <c r="A195" s="2" t="s">
        <v>205</v>
      </c>
      <c r="B195" s="5">
        <v>0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2.6041669999999999E-2</v>
      </c>
      <c r="I195" s="5">
        <v>2.8437500000000001E-2</v>
      </c>
      <c r="J195" s="5">
        <v>0</v>
      </c>
      <c r="K195" s="5">
        <v>0</v>
      </c>
      <c r="L195" s="5">
        <v>1.90625E-2</v>
      </c>
      <c r="M195" s="5">
        <v>2.4062500000000001E-2</v>
      </c>
      <c r="N195" s="5">
        <v>0</v>
      </c>
      <c r="O195" s="5">
        <v>5.3932580000000001E-2</v>
      </c>
      <c r="P195" s="5">
        <v>2.9113920000000001E-2</v>
      </c>
      <c r="Q195" s="5">
        <v>0</v>
      </c>
      <c r="R195" s="5">
        <v>0</v>
      </c>
      <c r="S195" s="5">
        <v>2.5312500000000002E-2</v>
      </c>
      <c r="T195" s="5">
        <v>2.4687500000000001E-2</v>
      </c>
      <c r="U195" s="5">
        <v>3.1355929999999997E-2</v>
      </c>
      <c r="V195" s="5">
        <v>0</v>
      </c>
      <c r="W195" s="5">
        <v>2.4675320000000001E-2</v>
      </c>
      <c r="X195" s="5">
        <v>0</v>
      </c>
      <c r="Y195" s="5">
        <v>3.2870370000000003E-2</v>
      </c>
      <c r="Z195" s="5">
        <v>0</v>
      </c>
      <c r="AA195" s="5">
        <v>5.4464289999999999E-2</v>
      </c>
      <c r="AB195" s="5">
        <v>3.0448719999999999E-2</v>
      </c>
      <c r="AD195" s="1">
        <f t="shared" si="2"/>
        <v>4.1132585500000003</v>
      </c>
      <c r="AF195" s="7"/>
    </row>
    <row r="196" spans="1:32">
      <c r="A196" s="2" t="s">
        <v>390</v>
      </c>
      <c r="B196" s="5">
        <v>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I196" s="5">
        <v>2.9062500000000002E-2</v>
      </c>
      <c r="J196" s="5">
        <v>-2.249056E-2</v>
      </c>
      <c r="K196" s="5">
        <v>1.90625E-2</v>
      </c>
      <c r="L196" s="5">
        <v>0</v>
      </c>
      <c r="M196" s="5">
        <v>2.2812499999999999E-2</v>
      </c>
      <c r="N196" s="5">
        <v>-2.980565E-2</v>
      </c>
      <c r="O196" s="5">
        <v>0</v>
      </c>
      <c r="P196" s="5">
        <v>0</v>
      </c>
      <c r="Q196" s="5">
        <v>0</v>
      </c>
      <c r="R196" s="5">
        <v>0</v>
      </c>
      <c r="S196" s="5">
        <v>-1.7331249999999999E-2</v>
      </c>
      <c r="T196" s="5">
        <v>0</v>
      </c>
      <c r="U196" s="5">
        <v>2.2033899999999999E-2</v>
      </c>
      <c r="V196" s="5">
        <v>0</v>
      </c>
      <c r="W196" s="5">
        <v>0</v>
      </c>
      <c r="X196" s="5">
        <v>2.2187499999999999E-2</v>
      </c>
      <c r="Y196" s="5">
        <v>2.1759259999999999E-2</v>
      </c>
      <c r="Z196" s="5">
        <v>0</v>
      </c>
      <c r="AA196" s="5">
        <v>4.553571E-2</v>
      </c>
      <c r="AB196" s="5">
        <v>0</v>
      </c>
      <c r="AD196" s="1">
        <f t="shared" si="2"/>
        <v>0.68571631249999998</v>
      </c>
      <c r="AF196" s="7"/>
    </row>
    <row r="197" spans="1:32">
      <c r="A197" s="2" t="s">
        <v>207</v>
      </c>
      <c r="B197" s="5">
        <v>0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D197" s="1">
        <f t="shared" ref="AD197:AD260" si="3">+SUMPRODUCT(B197:AB197,$B$1:$AB$1)</f>
        <v>0</v>
      </c>
      <c r="AF197" s="7"/>
    </row>
    <row r="198" spans="1:32">
      <c r="A198" s="2" t="s">
        <v>208</v>
      </c>
      <c r="B198" s="5">
        <v>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  <c r="AA198" s="5">
        <v>0</v>
      </c>
      <c r="AB198" s="5">
        <v>0</v>
      </c>
      <c r="AD198" s="1">
        <f t="shared" si="3"/>
        <v>0</v>
      </c>
      <c r="AF198" s="7"/>
    </row>
    <row r="199" spans="1:32">
      <c r="A199" s="2" t="s">
        <v>209</v>
      </c>
      <c r="B199" s="5">
        <v>0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D199" s="1">
        <f t="shared" si="3"/>
        <v>0</v>
      </c>
      <c r="AF199" s="7"/>
    </row>
    <row r="200" spans="1:32">
      <c r="A200" s="2" t="s">
        <v>210</v>
      </c>
      <c r="B200" s="5">
        <v>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D200" s="1">
        <f t="shared" si="3"/>
        <v>0</v>
      </c>
      <c r="AF200" s="7"/>
    </row>
    <row r="201" spans="1:32">
      <c r="A201" s="2" t="s">
        <v>211</v>
      </c>
      <c r="B201" s="5">
        <v>-2.6923180000000001E-2</v>
      </c>
      <c r="C201" s="5">
        <v>-2.4115080000000001E-2</v>
      </c>
      <c r="D201" s="5">
        <v>-2.543722E-2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-2.5098160000000001E-2</v>
      </c>
      <c r="K201" s="5">
        <v>0</v>
      </c>
      <c r="L201" s="5">
        <v>-2.7811280000000001E-2</v>
      </c>
      <c r="M201" s="5">
        <v>0</v>
      </c>
      <c r="N201" s="5">
        <v>-3.3916769999999999E-2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Z201" s="5">
        <v>0</v>
      </c>
      <c r="AA201" s="5">
        <v>0</v>
      </c>
      <c r="AB201" s="5">
        <v>0</v>
      </c>
      <c r="AD201" s="1">
        <f t="shared" si="3"/>
        <v>-1.6194512999999999</v>
      </c>
      <c r="AF201" s="7"/>
    </row>
    <row r="202" spans="1:32">
      <c r="A202" s="2" t="s">
        <v>212</v>
      </c>
      <c r="B202" s="5">
        <v>0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D202" s="1">
        <f t="shared" si="3"/>
        <v>0</v>
      </c>
      <c r="AF202" s="7"/>
    </row>
    <row r="203" spans="1:32">
      <c r="A203" s="2" t="s">
        <v>213</v>
      </c>
      <c r="B203" s="5">
        <v>0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D203" s="1">
        <f t="shared" si="3"/>
        <v>0</v>
      </c>
      <c r="AF203" s="7"/>
    </row>
    <row r="204" spans="1:32">
      <c r="A204" s="2" t="s">
        <v>214</v>
      </c>
      <c r="B204" s="5">
        <v>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2.0312500000000001E-2</v>
      </c>
      <c r="K204" s="5">
        <v>2.78125E-2</v>
      </c>
      <c r="L204" s="5">
        <v>2.5937499999999999E-2</v>
      </c>
      <c r="M204" s="5">
        <v>2.1562499999999998E-2</v>
      </c>
      <c r="N204" s="5">
        <v>2.2187499999999999E-2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2.9807690000000001E-2</v>
      </c>
      <c r="W204" s="5">
        <v>2.1428570000000001E-2</v>
      </c>
      <c r="X204" s="5">
        <v>2.9062500000000002E-2</v>
      </c>
      <c r="Y204" s="5">
        <v>0</v>
      </c>
      <c r="Z204" s="5">
        <v>2.8525640000000001E-2</v>
      </c>
      <c r="AA204" s="5">
        <v>4.9107140000000001E-2</v>
      </c>
      <c r="AB204" s="5">
        <v>2.7243590000000002E-2</v>
      </c>
      <c r="AD204" s="1">
        <f t="shared" si="3"/>
        <v>2.3775182499999996</v>
      </c>
      <c r="AF204" s="7"/>
    </row>
    <row r="205" spans="1:32">
      <c r="A205" s="2" t="s">
        <v>215</v>
      </c>
      <c r="B205" s="5">
        <v>0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D205" s="1">
        <f t="shared" si="3"/>
        <v>0</v>
      </c>
      <c r="AF205" s="7"/>
    </row>
    <row r="206" spans="1:32">
      <c r="A206" s="2" t="s">
        <v>216</v>
      </c>
      <c r="B206" s="5">
        <v>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D206" s="1">
        <f t="shared" si="3"/>
        <v>0</v>
      </c>
      <c r="AF206" s="7"/>
    </row>
    <row r="207" spans="1:32">
      <c r="A207" s="2" t="s">
        <v>217</v>
      </c>
      <c r="B207" s="5">
        <v>2.1374049999999999E-2</v>
      </c>
      <c r="C207" s="5">
        <v>0</v>
      </c>
      <c r="D207" s="5">
        <v>0</v>
      </c>
      <c r="E207" s="5">
        <v>0</v>
      </c>
      <c r="F207" s="5">
        <v>-1.9836409999999999E-2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  <c r="AD207" s="1">
        <f t="shared" si="3"/>
        <v>-0.28216975</v>
      </c>
      <c r="AF207" s="7"/>
    </row>
    <row r="208" spans="1:32">
      <c r="A208" s="2" t="s">
        <v>218</v>
      </c>
      <c r="B208" s="5">
        <v>0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D208" s="1">
        <f t="shared" si="3"/>
        <v>0</v>
      </c>
      <c r="AF208" s="7"/>
    </row>
    <row r="209" spans="1:32">
      <c r="A209" s="2" t="s">
        <v>219</v>
      </c>
      <c r="B209" s="5">
        <v>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D209" s="1">
        <f t="shared" si="3"/>
        <v>0</v>
      </c>
      <c r="AF209" s="7"/>
    </row>
    <row r="210" spans="1:32">
      <c r="A210" s="2" t="s">
        <v>220</v>
      </c>
      <c r="B210" s="5">
        <v>0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D210" s="1">
        <f t="shared" si="3"/>
        <v>0</v>
      </c>
      <c r="AF210" s="7"/>
    </row>
    <row r="211" spans="1:32">
      <c r="A211" s="2" t="s">
        <v>221</v>
      </c>
      <c r="B211" s="5">
        <v>0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D211" s="1">
        <f t="shared" si="3"/>
        <v>0</v>
      </c>
      <c r="AF211" s="7"/>
    </row>
    <row r="212" spans="1:32">
      <c r="A212" s="2" t="s">
        <v>222</v>
      </c>
      <c r="B212" s="5">
        <v>2.8625950000000001E-2</v>
      </c>
      <c r="C212" s="5">
        <v>2.7480919999999999E-2</v>
      </c>
      <c r="D212" s="5">
        <v>2.6717560000000001E-2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D212" s="1">
        <f t="shared" si="3"/>
        <v>0.82824429999999993</v>
      </c>
      <c r="AF212" s="7"/>
    </row>
    <row r="213" spans="1:32">
      <c r="A213" s="2" t="s">
        <v>223</v>
      </c>
      <c r="B213" s="5">
        <v>0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Z213" s="5">
        <v>0</v>
      </c>
      <c r="AA213" s="5">
        <v>0</v>
      </c>
      <c r="AB213" s="5">
        <v>0</v>
      </c>
      <c r="AD213" s="1">
        <f t="shared" si="3"/>
        <v>0</v>
      </c>
      <c r="AF213" s="7"/>
    </row>
    <row r="214" spans="1:32">
      <c r="A214" s="2" t="s">
        <v>224</v>
      </c>
      <c r="B214" s="5">
        <v>0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D214" s="1">
        <f t="shared" si="3"/>
        <v>0</v>
      </c>
      <c r="AF214" s="7"/>
    </row>
    <row r="215" spans="1:32">
      <c r="A215" s="2" t="s">
        <v>225</v>
      </c>
      <c r="B215" s="5">
        <v>-2.7302380000000001E-2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D215" s="1">
        <f t="shared" si="3"/>
        <v>-0.27302380000000004</v>
      </c>
      <c r="AF215" s="7"/>
    </row>
    <row r="216" spans="1:32">
      <c r="A216" s="2" t="s">
        <v>226</v>
      </c>
      <c r="B216" s="5">
        <v>0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  <c r="AA216" s="5">
        <v>0</v>
      </c>
      <c r="AB216" s="5">
        <v>0</v>
      </c>
      <c r="AD216" s="1">
        <f t="shared" si="3"/>
        <v>0</v>
      </c>
      <c r="AF216" s="7"/>
    </row>
    <row r="217" spans="1:32">
      <c r="A217" s="2" t="s">
        <v>227</v>
      </c>
      <c r="B217" s="5">
        <v>0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D217" s="1">
        <f t="shared" si="3"/>
        <v>0</v>
      </c>
      <c r="AF217" s="7"/>
    </row>
    <row r="218" spans="1:32">
      <c r="A218" s="2" t="s">
        <v>228</v>
      </c>
      <c r="B218" s="5">
        <v>0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D218" s="1">
        <f t="shared" si="3"/>
        <v>0</v>
      </c>
      <c r="AF218" s="7"/>
    </row>
    <row r="219" spans="1:32">
      <c r="A219" s="2" t="s">
        <v>229</v>
      </c>
      <c r="B219" s="5">
        <v>0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Z219" s="5">
        <v>0</v>
      </c>
      <c r="AA219" s="5">
        <v>0</v>
      </c>
      <c r="AB219" s="5">
        <v>0</v>
      </c>
      <c r="AD219" s="1">
        <f t="shared" si="3"/>
        <v>0</v>
      </c>
      <c r="AF219" s="7"/>
    </row>
    <row r="220" spans="1:32">
      <c r="A220" s="2" t="s">
        <v>230</v>
      </c>
      <c r="B220" s="5">
        <v>0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D220" s="1">
        <f t="shared" si="3"/>
        <v>0</v>
      </c>
      <c r="AF220" s="7"/>
    </row>
    <row r="221" spans="1:32">
      <c r="A221" s="2" t="s">
        <v>231</v>
      </c>
      <c r="B221" s="5">
        <v>0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D221" s="1">
        <f t="shared" si="3"/>
        <v>0</v>
      </c>
      <c r="AF221" s="7"/>
    </row>
    <row r="222" spans="1:32">
      <c r="A222" s="2" t="s">
        <v>232</v>
      </c>
      <c r="B222" s="5">
        <v>0</v>
      </c>
      <c r="C222" s="5">
        <v>0</v>
      </c>
      <c r="D222" s="5">
        <v>0</v>
      </c>
      <c r="E222" s="5">
        <v>0</v>
      </c>
      <c r="F222" s="5">
        <v>2.5208330000000001E-2</v>
      </c>
      <c r="G222" s="5">
        <v>2.3541670000000001E-2</v>
      </c>
      <c r="H222" s="5">
        <v>0</v>
      </c>
      <c r="I222" s="5">
        <v>2.6562499999999999E-2</v>
      </c>
      <c r="J222" s="5">
        <v>3.0312499999999999E-2</v>
      </c>
      <c r="K222" s="5">
        <v>0</v>
      </c>
      <c r="L222" s="5">
        <v>0</v>
      </c>
      <c r="M222" s="5">
        <v>2.0312500000000001E-2</v>
      </c>
      <c r="N222" s="5">
        <v>3.0312499999999999E-2</v>
      </c>
      <c r="O222" s="5">
        <v>0</v>
      </c>
      <c r="P222" s="5">
        <v>2.2151899999999999E-2</v>
      </c>
      <c r="Q222" s="5">
        <v>-2.6425170000000001E-2</v>
      </c>
      <c r="R222" s="5">
        <v>-2.3158539999999998E-2</v>
      </c>
      <c r="S222" s="5">
        <v>-2.613443E-2</v>
      </c>
      <c r="T222" s="5">
        <v>-2.2458309999999999E-2</v>
      </c>
      <c r="U222" s="5">
        <v>0</v>
      </c>
      <c r="V222" s="5">
        <v>2.4679489999999998E-2</v>
      </c>
      <c r="W222" s="5">
        <v>0</v>
      </c>
      <c r="X222" s="5">
        <v>2.1562499999999998E-2</v>
      </c>
      <c r="Y222" s="5">
        <v>0</v>
      </c>
      <c r="Z222" s="5">
        <v>0</v>
      </c>
      <c r="AA222" s="5">
        <v>0</v>
      </c>
      <c r="AB222" s="5">
        <v>2.5961540000000002E-2</v>
      </c>
      <c r="AD222" s="1">
        <f t="shared" si="3"/>
        <v>1.4558886124999999</v>
      </c>
      <c r="AF222" s="7"/>
    </row>
    <row r="223" spans="1:32">
      <c r="A223" s="2" t="s">
        <v>233</v>
      </c>
      <c r="B223" s="5">
        <v>0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D223" s="1">
        <f t="shared" si="3"/>
        <v>0</v>
      </c>
      <c r="AF223" s="7"/>
    </row>
    <row r="224" spans="1:32">
      <c r="A224" s="2" t="s">
        <v>234</v>
      </c>
      <c r="B224" s="5">
        <v>0</v>
      </c>
      <c r="C224" s="5">
        <v>0</v>
      </c>
      <c r="D224" s="5">
        <v>0</v>
      </c>
      <c r="E224" s="5">
        <v>0</v>
      </c>
      <c r="F224" s="5">
        <v>2.6041669999999999E-2</v>
      </c>
      <c r="G224" s="5">
        <v>2.6875E-2</v>
      </c>
      <c r="H224" s="5">
        <v>2.3125E-2</v>
      </c>
      <c r="I224" s="5">
        <v>-2.1128770000000002E-2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-4.8053459999999999E-2</v>
      </c>
      <c r="P224" s="5">
        <v>0</v>
      </c>
      <c r="Q224" s="5">
        <v>2.78125E-2</v>
      </c>
      <c r="R224" s="5">
        <v>0</v>
      </c>
      <c r="S224" s="5">
        <v>2.9062500000000002E-2</v>
      </c>
      <c r="T224" s="5">
        <v>2.5312500000000002E-2</v>
      </c>
      <c r="U224" s="5">
        <v>-3.021246E-2</v>
      </c>
      <c r="V224" s="5">
        <v>-2.1852750000000001E-2</v>
      </c>
      <c r="W224" s="5">
        <v>0</v>
      </c>
      <c r="X224" s="5">
        <v>0</v>
      </c>
      <c r="Y224" s="5">
        <v>-3.0816079999999999E-2</v>
      </c>
      <c r="Z224" s="5">
        <v>0</v>
      </c>
      <c r="AA224" s="5">
        <v>-4.60705E-2</v>
      </c>
      <c r="AB224" s="5">
        <v>-3.2675530000000001E-2</v>
      </c>
      <c r="AD224" s="1">
        <f t="shared" si="3"/>
        <v>1.4019894250000002</v>
      </c>
      <c r="AF224" s="7"/>
    </row>
    <row r="225" spans="1:32">
      <c r="A225" s="2" t="s">
        <v>235</v>
      </c>
      <c r="B225" s="5">
        <v>0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D225" s="1">
        <f t="shared" si="3"/>
        <v>0</v>
      </c>
      <c r="AF225" s="7"/>
    </row>
    <row r="226" spans="1:32">
      <c r="A226" s="2" t="s">
        <v>236</v>
      </c>
      <c r="B226" s="5">
        <v>-2.806078E-2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D226" s="1">
        <f t="shared" si="3"/>
        <v>-0.28060780000000002</v>
      </c>
      <c r="AF226" s="7"/>
    </row>
    <row r="227" spans="1:32">
      <c r="A227" s="2" t="s">
        <v>237</v>
      </c>
      <c r="B227" s="5">
        <v>0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-3.0697350000000002E-2</v>
      </c>
      <c r="L227" s="5">
        <v>-2.7005149999999999E-2</v>
      </c>
      <c r="M227" s="5">
        <v>0</v>
      </c>
      <c r="N227" s="5">
        <v>0</v>
      </c>
      <c r="O227" s="5">
        <v>0</v>
      </c>
      <c r="P227" s="5">
        <v>2.2784809999999999E-2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1.8910260000000002E-2</v>
      </c>
      <c r="W227" s="5">
        <v>-3.3651199999999999E-2</v>
      </c>
      <c r="X227" s="5">
        <v>-2.8129210000000002E-2</v>
      </c>
      <c r="Y227" s="5">
        <v>0</v>
      </c>
      <c r="Z227" s="5">
        <v>0</v>
      </c>
      <c r="AA227" s="5">
        <v>0</v>
      </c>
      <c r="AB227" s="5">
        <v>2.2756410000000001E-2</v>
      </c>
      <c r="AD227" s="1">
        <f t="shared" si="3"/>
        <v>-8.6054549999999994E-2</v>
      </c>
      <c r="AF227" s="7"/>
    </row>
    <row r="228" spans="1:32">
      <c r="A228" s="2" t="s">
        <v>238</v>
      </c>
      <c r="B228" s="5">
        <v>0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D228" s="1">
        <f t="shared" si="3"/>
        <v>0</v>
      </c>
      <c r="AF228" s="7"/>
    </row>
    <row r="229" spans="1:32">
      <c r="A229" s="2" t="s">
        <v>239</v>
      </c>
      <c r="B229" s="5">
        <v>0</v>
      </c>
      <c r="C229" s="5">
        <v>0</v>
      </c>
      <c r="D229" s="5">
        <v>0</v>
      </c>
      <c r="E229" s="5">
        <v>0</v>
      </c>
      <c r="F229" s="5">
        <v>2.3541670000000001E-2</v>
      </c>
      <c r="G229" s="5">
        <v>2.395833E-2</v>
      </c>
      <c r="H229" s="5">
        <v>0</v>
      </c>
      <c r="I229" s="5">
        <v>0</v>
      </c>
      <c r="J229" s="5">
        <v>0</v>
      </c>
      <c r="K229" s="5">
        <v>-2.9957649999999999E-2</v>
      </c>
      <c r="L229" s="5">
        <v>-3.022965E-2</v>
      </c>
      <c r="M229" s="5">
        <v>0</v>
      </c>
      <c r="N229" s="5">
        <v>0</v>
      </c>
      <c r="O229" s="5">
        <v>0</v>
      </c>
      <c r="P229" s="5">
        <v>0</v>
      </c>
      <c r="Q229" s="5">
        <v>-2.4245780000000001E-2</v>
      </c>
      <c r="R229" s="5">
        <v>-2.7622830000000001E-2</v>
      </c>
      <c r="S229" s="5">
        <v>-1.6781049999999999E-2</v>
      </c>
      <c r="T229" s="5">
        <v>-2.5100460000000002E-2</v>
      </c>
      <c r="U229" s="5">
        <v>0</v>
      </c>
      <c r="V229" s="5">
        <v>0</v>
      </c>
      <c r="W229" s="5">
        <v>-3.4398999999999999E-2</v>
      </c>
      <c r="X229" s="5">
        <v>-2.7336840000000001E-2</v>
      </c>
      <c r="Y229" s="5">
        <v>0</v>
      </c>
      <c r="Z229" s="5">
        <v>0</v>
      </c>
      <c r="AA229" s="5">
        <v>0</v>
      </c>
      <c r="AB229" s="5">
        <v>0</v>
      </c>
      <c r="AD229" s="1">
        <f t="shared" si="3"/>
        <v>-1.1799304500000001</v>
      </c>
      <c r="AF229" s="7"/>
    </row>
    <row r="230" spans="1:32">
      <c r="A230" s="2" t="s">
        <v>240</v>
      </c>
      <c r="B230" s="5">
        <v>0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D230" s="1">
        <f t="shared" si="3"/>
        <v>0</v>
      </c>
      <c r="AF230" s="7"/>
    </row>
    <row r="231" spans="1:32">
      <c r="A231" s="2" t="s">
        <v>241</v>
      </c>
      <c r="B231" s="5">
        <v>0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Z231" s="5">
        <v>0</v>
      </c>
      <c r="AA231" s="5">
        <v>0</v>
      </c>
      <c r="AB231" s="5">
        <v>0</v>
      </c>
      <c r="AD231" s="1">
        <f t="shared" si="3"/>
        <v>0</v>
      </c>
      <c r="AF231" s="7"/>
    </row>
    <row r="232" spans="1:32">
      <c r="A232" s="2" t="s">
        <v>242</v>
      </c>
      <c r="B232" s="5">
        <v>0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D232" s="1">
        <f t="shared" si="3"/>
        <v>0</v>
      </c>
      <c r="AF232" s="7"/>
    </row>
    <row r="233" spans="1:32">
      <c r="A233" s="2" t="s">
        <v>243</v>
      </c>
      <c r="B233" s="5">
        <v>-2.502718E-2</v>
      </c>
      <c r="C233" s="5">
        <v>-2.2631080000000001E-2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D233" s="1">
        <f t="shared" si="3"/>
        <v>-0.47658259999999997</v>
      </c>
      <c r="AF233" s="7"/>
    </row>
    <row r="234" spans="1:32">
      <c r="A234" s="2" t="s">
        <v>244</v>
      </c>
      <c r="B234" s="5">
        <v>0</v>
      </c>
      <c r="C234" s="5">
        <v>0</v>
      </c>
      <c r="D234" s="5">
        <v>2.4045799999999999E-2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  <c r="AD234" s="1">
        <f t="shared" si="3"/>
        <v>0.24045800000000001</v>
      </c>
      <c r="AF234" s="7"/>
    </row>
    <row r="235" spans="1:32">
      <c r="A235" s="2" t="s">
        <v>245</v>
      </c>
      <c r="B235" s="5">
        <v>0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D235" s="1">
        <f t="shared" si="3"/>
        <v>0</v>
      </c>
      <c r="AF235" s="7"/>
    </row>
    <row r="236" spans="1:32">
      <c r="A236" s="2" t="s">
        <v>246</v>
      </c>
      <c r="B236" s="5">
        <v>0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D236" s="1">
        <f t="shared" si="3"/>
        <v>0</v>
      </c>
      <c r="AF236" s="7"/>
    </row>
    <row r="237" spans="1:32">
      <c r="A237" s="2" t="s">
        <v>247</v>
      </c>
      <c r="B237" s="5">
        <v>0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D237" s="1">
        <f t="shared" si="3"/>
        <v>0</v>
      </c>
      <c r="AF237" s="7"/>
    </row>
    <row r="238" spans="1:32">
      <c r="A238" s="2" t="s">
        <v>248</v>
      </c>
      <c r="B238" s="5">
        <v>0</v>
      </c>
      <c r="C238" s="5">
        <v>0</v>
      </c>
      <c r="D238" s="5">
        <v>0</v>
      </c>
      <c r="E238" s="5">
        <v>0</v>
      </c>
      <c r="F238" s="5">
        <v>-2.1561319999999998E-2</v>
      </c>
      <c r="G238" s="5">
        <v>-1.705651E-2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D238" s="1">
        <f t="shared" si="3"/>
        <v>-0.96544574999999999</v>
      </c>
      <c r="AF238" s="7"/>
    </row>
    <row r="239" spans="1:32">
      <c r="A239" s="2" t="s">
        <v>249</v>
      </c>
      <c r="B239" s="5">
        <v>0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D239" s="1">
        <f t="shared" si="3"/>
        <v>0</v>
      </c>
      <c r="AF239" s="7"/>
    </row>
    <row r="240" spans="1:32">
      <c r="A240" s="2" t="s">
        <v>250</v>
      </c>
      <c r="B240" s="5">
        <v>2.4045799999999999E-2</v>
      </c>
      <c r="C240" s="5">
        <v>0</v>
      </c>
      <c r="D240" s="5">
        <v>0</v>
      </c>
      <c r="E240" s="5">
        <v>0</v>
      </c>
      <c r="F240" s="5">
        <v>2.5624999999999998E-2</v>
      </c>
      <c r="G240" s="5">
        <v>2.5624999999999998E-2</v>
      </c>
      <c r="H240" s="5">
        <v>2.395833E-2</v>
      </c>
      <c r="I240" s="5">
        <v>0</v>
      </c>
      <c r="J240" s="5">
        <v>1.90625E-2</v>
      </c>
      <c r="K240" s="5">
        <v>0</v>
      </c>
      <c r="L240" s="5">
        <v>0</v>
      </c>
      <c r="M240" s="5">
        <v>1.96875E-2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3.0508469999999999E-2</v>
      </c>
      <c r="V240" s="5">
        <v>2.7884619999999999E-2</v>
      </c>
      <c r="W240" s="5">
        <v>0</v>
      </c>
      <c r="X240" s="5">
        <v>1.90625E-2</v>
      </c>
      <c r="Y240" s="5">
        <v>3.1944439999999998E-2</v>
      </c>
      <c r="Z240" s="5">
        <v>3.1089740000000001E-2</v>
      </c>
      <c r="AA240" s="5">
        <v>-4.7687010000000002E-2</v>
      </c>
      <c r="AB240" s="5">
        <v>-2.795947E-2</v>
      </c>
      <c r="AD240" s="1">
        <f t="shared" si="3"/>
        <v>3.8267970000000009</v>
      </c>
      <c r="AF240" s="7"/>
    </row>
    <row r="241" spans="1:32">
      <c r="A241" s="2" t="s">
        <v>251</v>
      </c>
      <c r="B241" s="5">
        <v>0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D241" s="1">
        <f t="shared" si="3"/>
        <v>0</v>
      </c>
      <c r="AF241" s="7"/>
    </row>
    <row r="242" spans="1:32">
      <c r="A242" s="2" t="s">
        <v>252</v>
      </c>
      <c r="B242" s="5">
        <v>0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D242" s="1">
        <f t="shared" si="3"/>
        <v>0</v>
      </c>
      <c r="AF242" s="7"/>
    </row>
    <row r="243" spans="1:32">
      <c r="A243" s="2" t="s">
        <v>253</v>
      </c>
      <c r="B243" s="5">
        <v>0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  <c r="AD243" s="1">
        <f t="shared" si="3"/>
        <v>0</v>
      </c>
      <c r="AF243" s="7"/>
    </row>
    <row r="244" spans="1:32">
      <c r="A244" s="2" t="s">
        <v>254</v>
      </c>
      <c r="B244" s="5">
        <v>0</v>
      </c>
      <c r="C244" s="5">
        <v>-2.2260080000000002E-2</v>
      </c>
      <c r="D244" s="5">
        <v>-2.2257570000000001E-2</v>
      </c>
      <c r="E244" s="5">
        <v>0</v>
      </c>
      <c r="F244" s="5">
        <v>-1.8456489999999999E-2</v>
      </c>
      <c r="G244" s="5">
        <v>0</v>
      </c>
      <c r="H244" s="5">
        <v>0</v>
      </c>
      <c r="I244" s="5">
        <v>0</v>
      </c>
      <c r="J244" s="5">
        <v>0</v>
      </c>
      <c r="K244" s="5">
        <v>-2.5519480000000001E-2</v>
      </c>
      <c r="L244" s="5">
        <v>-2.4586779999999999E-2</v>
      </c>
      <c r="M244" s="5">
        <v>0</v>
      </c>
      <c r="N244" s="5">
        <v>0</v>
      </c>
      <c r="O244" s="5">
        <v>0</v>
      </c>
      <c r="P244" s="5">
        <v>0</v>
      </c>
      <c r="Q244" s="5">
        <v>2.4062500000000001E-2</v>
      </c>
      <c r="R244" s="5">
        <v>2.0937500000000001E-2</v>
      </c>
      <c r="S244" s="5">
        <v>1.90625E-2</v>
      </c>
      <c r="T244" s="5">
        <v>0</v>
      </c>
      <c r="U244" s="5">
        <v>0</v>
      </c>
      <c r="V244" s="5">
        <v>0</v>
      </c>
      <c r="W244" s="5">
        <v>0</v>
      </c>
      <c r="X244" s="5">
        <v>-3.2091069999999999E-2</v>
      </c>
      <c r="Y244" s="5">
        <v>0</v>
      </c>
      <c r="Z244" s="5">
        <v>0</v>
      </c>
      <c r="AA244" s="5">
        <v>0</v>
      </c>
      <c r="AB244" s="5">
        <v>-2.1222250000000002E-2</v>
      </c>
      <c r="AD244" s="1">
        <f t="shared" si="3"/>
        <v>-0.22251477500000005</v>
      </c>
      <c r="AF244" s="7"/>
    </row>
    <row r="245" spans="1:32">
      <c r="A245" s="2" t="s">
        <v>255</v>
      </c>
      <c r="B245" s="5">
        <v>0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D245" s="1">
        <f t="shared" si="3"/>
        <v>0</v>
      </c>
      <c r="AF245" s="7"/>
    </row>
    <row r="246" spans="1:32">
      <c r="A246" s="2" t="s">
        <v>256</v>
      </c>
      <c r="B246" s="5">
        <v>0</v>
      </c>
      <c r="C246" s="5">
        <v>0</v>
      </c>
      <c r="D246" s="5">
        <v>0</v>
      </c>
      <c r="E246" s="5">
        <v>0</v>
      </c>
      <c r="F246" s="5">
        <v>2.8541670000000002E-2</v>
      </c>
      <c r="G246" s="5">
        <v>2.8125000000000001E-2</v>
      </c>
      <c r="H246" s="5">
        <v>2.5624999999999998E-2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-2.4169969999999999E-2</v>
      </c>
      <c r="V246" s="5">
        <v>-2.992146E-2</v>
      </c>
      <c r="W246" s="5">
        <v>0</v>
      </c>
      <c r="X246" s="5">
        <v>0</v>
      </c>
      <c r="Y246" s="5">
        <v>-2.3230580000000001E-2</v>
      </c>
      <c r="Z246" s="5">
        <v>-2.2137690000000002E-2</v>
      </c>
      <c r="AA246" s="5">
        <v>0</v>
      </c>
      <c r="AB246" s="5">
        <v>-3.0654359999999999E-2</v>
      </c>
      <c r="AD246" s="1">
        <f t="shared" si="3"/>
        <v>0.63896580000000014</v>
      </c>
      <c r="AF246" s="7"/>
    </row>
    <row r="247" spans="1:32">
      <c r="A247" s="2" t="s">
        <v>257</v>
      </c>
      <c r="B247" s="5">
        <v>0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D247" s="1">
        <f t="shared" si="3"/>
        <v>0</v>
      </c>
      <c r="AF247" s="7"/>
    </row>
    <row r="248" spans="1:32">
      <c r="A248" s="2" t="s">
        <v>258</v>
      </c>
      <c r="B248" s="5">
        <v>0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D248" s="1">
        <f t="shared" si="3"/>
        <v>0</v>
      </c>
      <c r="AF248" s="7"/>
    </row>
    <row r="249" spans="1:32">
      <c r="A249" s="2" t="s">
        <v>259</v>
      </c>
      <c r="B249" s="5">
        <v>0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D249" s="1">
        <f t="shared" si="3"/>
        <v>0</v>
      </c>
      <c r="AF249" s="7"/>
    </row>
    <row r="250" spans="1:32">
      <c r="A250" s="2" t="s">
        <v>260</v>
      </c>
      <c r="B250" s="5">
        <v>0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D250" s="1">
        <f t="shared" si="3"/>
        <v>0</v>
      </c>
      <c r="AF250" s="7"/>
    </row>
    <row r="251" spans="1:32">
      <c r="A251" s="2" t="s">
        <v>261</v>
      </c>
      <c r="B251" s="5">
        <v>0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D251" s="1">
        <f t="shared" si="3"/>
        <v>0</v>
      </c>
      <c r="AF251" s="7"/>
    </row>
    <row r="252" spans="1:32">
      <c r="A252" s="2" t="s">
        <v>262</v>
      </c>
      <c r="B252" s="5">
        <v>0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D252" s="1">
        <f t="shared" si="3"/>
        <v>0</v>
      </c>
      <c r="AF252" s="7"/>
    </row>
    <row r="253" spans="1:32">
      <c r="A253" s="2" t="s">
        <v>263</v>
      </c>
      <c r="B253" s="5">
        <v>0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D253" s="1">
        <f t="shared" si="3"/>
        <v>0</v>
      </c>
      <c r="AF253" s="7"/>
    </row>
    <row r="254" spans="1:32">
      <c r="A254" s="2" t="s">
        <v>264</v>
      </c>
      <c r="B254" s="5">
        <v>0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D254" s="1">
        <f t="shared" si="3"/>
        <v>0</v>
      </c>
      <c r="AF254" s="7"/>
    </row>
    <row r="255" spans="1:32">
      <c r="A255" s="2" t="s">
        <v>265</v>
      </c>
      <c r="B255" s="5">
        <v>2.5572520000000001E-2</v>
      </c>
      <c r="C255" s="5">
        <v>2.2900759999999999E-2</v>
      </c>
      <c r="D255" s="5">
        <v>0</v>
      </c>
      <c r="E255" s="5">
        <v>0</v>
      </c>
      <c r="F255" s="5">
        <v>0</v>
      </c>
      <c r="G255" s="5">
        <v>-1.7387699999999999E-2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D255" s="1">
        <f t="shared" si="3"/>
        <v>5.0040299999999982E-2</v>
      </c>
      <c r="AF255" s="7"/>
    </row>
    <row r="256" spans="1:32">
      <c r="A256" s="2" t="s">
        <v>266</v>
      </c>
      <c r="B256" s="5">
        <v>0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-2.5880319999999998E-2</v>
      </c>
      <c r="R256" s="5">
        <v>-2.4832650000000001E-2</v>
      </c>
      <c r="S256" s="5">
        <v>-2.7234830000000002E-2</v>
      </c>
      <c r="T256" s="5">
        <v>-2.4572030000000002E-2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D256" s="1">
        <f t="shared" si="3"/>
        <v>-1.9222468125000001</v>
      </c>
      <c r="AF256" s="7"/>
    </row>
    <row r="257" spans="1:32">
      <c r="A257" s="2" t="s">
        <v>267</v>
      </c>
      <c r="B257" s="5">
        <v>0</v>
      </c>
      <c r="C257" s="5">
        <v>0</v>
      </c>
      <c r="D257" s="5">
        <v>0</v>
      </c>
      <c r="E257" s="5">
        <v>0</v>
      </c>
      <c r="F257" s="5">
        <v>2.8125000000000001E-2</v>
      </c>
      <c r="G257" s="5">
        <v>2.8541670000000002E-2</v>
      </c>
      <c r="H257" s="5">
        <v>2.6458329999999999E-2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1.90625E-2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D257" s="1">
        <f t="shared" si="3"/>
        <v>2.435546875</v>
      </c>
      <c r="AF257" s="7"/>
    </row>
    <row r="258" spans="1:32">
      <c r="A258" s="2" t="s">
        <v>268</v>
      </c>
      <c r="B258" s="5">
        <v>0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D258" s="1">
        <f t="shared" si="3"/>
        <v>0</v>
      </c>
      <c r="AF258" s="7"/>
    </row>
    <row r="259" spans="1:32">
      <c r="A259" s="2" t="s">
        <v>269</v>
      </c>
      <c r="B259" s="5">
        <v>2.6335879999999999E-2</v>
      </c>
      <c r="C259" s="5">
        <v>2.7862600000000001E-2</v>
      </c>
      <c r="D259" s="5">
        <v>2.709924E-2</v>
      </c>
      <c r="E259" s="5">
        <v>0</v>
      </c>
      <c r="F259" s="5">
        <v>2.6875E-2</v>
      </c>
      <c r="G259" s="5">
        <v>2.6041669999999999E-2</v>
      </c>
      <c r="H259" s="5">
        <v>2.1458330000000001E-2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-2.2600499999999999E-2</v>
      </c>
      <c r="S259" s="5">
        <v>-2.173284E-2</v>
      </c>
      <c r="T259" s="5">
        <v>-2.5628890000000001E-2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D259" s="1">
        <f t="shared" si="3"/>
        <v>1.3605603875000001</v>
      </c>
      <c r="AF259" s="7"/>
    </row>
    <row r="260" spans="1:32">
      <c r="A260" s="2" t="s">
        <v>270</v>
      </c>
      <c r="B260" s="5">
        <v>0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-2.0600279999999999E-2</v>
      </c>
      <c r="Q260" s="5">
        <v>-2.0431830000000002E-2</v>
      </c>
      <c r="R260" s="5">
        <v>-2.4274609999999999E-2</v>
      </c>
      <c r="S260" s="5">
        <v>-1.8981850000000001E-2</v>
      </c>
      <c r="T260" s="5">
        <v>-2.3515169999999998E-2</v>
      </c>
      <c r="U260" s="5">
        <v>0</v>
      </c>
      <c r="V260" s="5">
        <v>0</v>
      </c>
      <c r="W260" s="5">
        <v>3.0519480000000002E-2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D260" s="1">
        <f t="shared" si="3"/>
        <v>-1.5854688750000001</v>
      </c>
      <c r="AF260" s="7"/>
    </row>
    <row r="261" spans="1:32">
      <c r="A261" s="2" t="s">
        <v>271</v>
      </c>
      <c r="B261" s="5">
        <v>0</v>
      </c>
      <c r="C261" s="5">
        <v>0</v>
      </c>
      <c r="D261" s="5">
        <v>0</v>
      </c>
      <c r="E261" s="5">
        <v>0</v>
      </c>
      <c r="F261" s="5">
        <v>2.8958330000000001E-2</v>
      </c>
      <c r="G261" s="5">
        <v>2.8958330000000001E-2</v>
      </c>
      <c r="H261" s="5">
        <v>2.770833E-2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D261" s="1">
        <f t="shared" ref="AD261:AD324" si="4">+SUMPRODUCT(B261:AB261,$B$1:$AB$1)</f>
        <v>2.1406247500000002</v>
      </c>
      <c r="AF261" s="7"/>
    </row>
    <row r="262" spans="1:32">
      <c r="A262" s="2" t="s">
        <v>272</v>
      </c>
      <c r="B262" s="5">
        <v>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D262" s="1">
        <f t="shared" si="4"/>
        <v>0</v>
      </c>
      <c r="AF262" s="7"/>
    </row>
    <row r="263" spans="1:32">
      <c r="A263" s="2" t="s">
        <v>273</v>
      </c>
      <c r="B263" s="5">
        <v>0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D263" s="1">
        <f t="shared" si="4"/>
        <v>0</v>
      </c>
      <c r="AF263" s="7"/>
    </row>
    <row r="264" spans="1:32">
      <c r="A264" s="2" t="s">
        <v>274</v>
      </c>
      <c r="B264" s="5">
        <v>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D264" s="1">
        <f t="shared" si="4"/>
        <v>0</v>
      </c>
      <c r="AF264" s="7"/>
    </row>
    <row r="265" spans="1:32">
      <c r="A265" s="2" t="s">
        <v>275</v>
      </c>
      <c r="B265" s="5">
        <v>0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D265" s="1">
        <f t="shared" si="4"/>
        <v>0</v>
      </c>
      <c r="AF265" s="7"/>
    </row>
    <row r="266" spans="1:32">
      <c r="A266" s="2" t="s">
        <v>276</v>
      </c>
      <c r="B266" s="5">
        <v>0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D266" s="1">
        <f t="shared" si="4"/>
        <v>0</v>
      </c>
      <c r="AF266" s="7"/>
    </row>
    <row r="267" spans="1:32">
      <c r="A267" s="2" t="s">
        <v>277</v>
      </c>
      <c r="B267" s="5">
        <v>0</v>
      </c>
      <c r="C267" s="5">
        <v>0</v>
      </c>
      <c r="D267" s="5">
        <v>-2.4642310000000001E-2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  <c r="AD267" s="1">
        <f t="shared" si="4"/>
        <v>-0.24642310000000001</v>
      </c>
      <c r="AF267" s="7"/>
    </row>
    <row r="268" spans="1:32">
      <c r="A268" s="2" t="s">
        <v>278</v>
      </c>
      <c r="B268" s="5">
        <v>0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D268" s="1">
        <f t="shared" si="4"/>
        <v>0</v>
      </c>
      <c r="AF268" s="7"/>
    </row>
    <row r="269" spans="1:32">
      <c r="A269" s="2" t="s">
        <v>279</v>
      </c>
      <c r="B269" s="5">
        <v>0</v>
      </c>
      <c r="C269" s="5">
        <v>0</v>
      </c>
      <c r="D269" s="5">
        <v>0</v>
      </c>
      <c r="E269" s="5">
        <v>0</v>
      </c>
      <c r="F269" s="5">
        <v>-2.2941240000000002E-2</v>
      </c>
      <c r="G269" s="5">
        <v>-1.9374869999999999E-2</v>
      </c>
      <c r="H269" s="5">
        <v>-1.8474870000000001E-2</v>
      </c>
      <c r="I269" s="5">
        <v>0</v>
      </c>
      <c r="J269" s="5">
        <v>2.2187499999999999E-2</v>
      </c>
      <c r="K269" s="5">
        <v>2.2812499999999999E-2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-1.7162739999999999E-2</v>
      </c>
      <c r="R269" s="5">
        <v>-1.8136200000000002E-2</v>
      </c>
      <c r="S269" s="5">
        <v>-2.0632439999999998E-2</v>
      </c>
      <c r="T269" s="5">
        <v>-1.6645569999999998E-2</v>
      </c>
      <c r="U269" s="5">
        <v>0</v>
      </c>
      <c r="V269" s="5">
        <v>2.1474360000000001E-2</v>
      </c>
      <c r="W269" s="5">
        <v>0</v>
      </c>
      <c r="X269" s="5">
        <v>2.5937499999999999E-2</v>
      </c>
      <c r="Y269" s="5">
        <v>0</v>
      </c>
      <c r="Z269" s="5">
        <v>0</v>
      </c>
      <c r="AA269" s="5">
        <v>0</v>
      </c>
      <c r="AB269" s="5">
        <v>0</v>
      </c>
      <c r="AD269" s="1">
        <f t="shared" si="4"/>
        <v>-1.9819144125000003</v>
      </c>
      <c r="AF269" s="7"/>
    </row>
    <row r="270" spans="1:32">
      <c r="A270" s="2" t="s">
        <v>280</v>
      </c>
      <c r="B270" s="5">
        <v>0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D270" s="1">
        <f t="shared" si="4"/>
        <v>0</v>
      </c>
      <c r="AF270" s="7"/>
    </row>
    <row r="271" spans="1:32">
      <c r="A271" s="2" t="s">
        <v>281</v>
      </c>
      <c r="B271" s="5">
        <v>0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D271" s="1">
        <f t="shared" si="4"/>
        <v>0</v>
      </c>
      <c r="AF271" s="7"/>
    </row>
    <row r="272" spans="1:32">
      <c r="A272" s="2" t="s">
        <v>282</v>
      </c>
      <c r="B272" s="5">
        <v>0</v>
      </c>
      <c r="C272" s="5">
        <v>0</v>
      </c>
      <c r="D272" s="5">
        <v>0</v>
      </c>
      <c r="E272" s="5">
        <v>0</v>
      </c>
      <c r="F272" s="5">
        <v>-1.9491430000000001E-2</v>
      </c>
      <c r="G272" s="5">
        <v>-2.1030839999999999E-2</v>
      </c>
      <c r="H272" s="5">
        <v>-1.9782830000000001E-2</v>
      </c>
      <c r="I272" s="5">
        <v>0</v>
      </c>
      <c r="J272" s="5">
        <v>-2.1186759999999999E-2</v>
      </c>
      <c r="K272" s="5">
        <v>-2.7738570000000001E-2</v>
      </c>
      <c r="L272" s="5">
        <v>-2.8617400000000001E-2</v>
      </c>
      <c r="M272" s="5">
        <v>0</v>
      </c>
      <c r="N272" s="5">
        <v>0</v>
      </c>
      <c r="O272" s="5">
        <v>0</v>
      </c>
      <c r="P272" s="5">
        <v>-2.2660309999999999E-2</v>
      </c>
      <c r="Q272" s="5">
        <v>0</v>
      </c>
      <c r="R272" s="5">
        <v>0</v>
      </c>
      <c r="S272" s="5">
        <v>-2.3933639999999999E-2</v>
      </c>
      <c r="T272" s="5">
        <v>-1.7702430000000002E-2</v>
      </c>
      <c r="U272" s="5">
        <v>0</v>
      </c>
      <c r="V272" s="5">
        <v>-2.5887110000000001E-2</v>
      </c>
      <c r="W272" s="5">
        <v>-2.243413E-2</v>
      </c>
      <c r="X272" s="5">
        <v>-3.0506330000000002E-2</v>
      </c>
      <c r="Y272" s="5">
        <v>0</v>
      </c>
      <c r="Z272" s="5">
        <v>-2.6763479999999999E-2</v>
      </c>
      <c r="AA272" s="5">
        <v>0</v>
      </c>
      <c r="AB272" s="5">
        <v>-2.6612029999999998E-2</v>
      </c>
      <c r="AD272" s="1">
        <f t="shared" si="4"/>
        <v>-4.054890512500001</v>
      </c>
      <c r="AF272" s="7"/>
    </row>
    <row r="273" spans="1:32">
      <c r="A273" s="2" t="s">
        <v>283</v>
      </c>
      <c r="B273" s="5">
        <v>0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D273" s="1">
        <f t="shared" si="4"/>
        <v>0</v>
      </c>
      <c r="AF273" s="7"/>
    </row>
    <row r="274" spans="1:32">
      <c r="A274" s="2" t="s">
        <v>284</v>
      </c>
      <c r="B274" s="5">
        <v>0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I274" s="5">
        <v>-2.365161E-2</v>
      </c>
      <c r="J274" s="5">
        <v>0</v>
      </c>
      <c r="K274" s="5">
        <v>0</v>
      </c>
      <c r="L274" s="5">
        <v>0</v>
      </c>
      <c r="M274" s="5">
        <v>-2.903331E-2</v>
      </c>
      <c r="N274" s="5">
        <v>-2.2268590000000001E-2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-1.8990690000000001E-2</v>
      </c>
      <c r="V274" s="5">
        <v>-2.65595E-2</v>
      </c>
      <c r="W274" s="5">
        <v>2.7922079999999998E-2</v>
      </c>
      <c r="X274" s="5">
        <v>2.0312500000000001E-2</v>
      </c>
      <c r="Y274" s="5">
        <v>-1.943783E-2</v>
      </c>
      <c r="Z274" s="5">
        <v>-3.1389260000000002E-2</v>
      </c>
      <c r="AA274" s="5">
        <v>0</v>
      </c>
      <c r="AB274" s="5">
        <v>0</v>
      </c>
      <c r="AD274" s="1">
        <f t="shared" si="4"/>
        <v>-1.8181439999999998</v>
      </c>
      <c r="AF274" s="7"/>
    </row>
    <row r="275" spans="1:32">
      <c r="A275" s="2" t="s">
        <v>285</v>
      </c>
      <c r="B275" s="5">
        <v>-2.464798E-2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-2.995871E-2</v>
      </c>
      <c r="J275" s="5">
        <v>-1.9882960000000002E-2</v>
      </c>
      <c r="K275" s="5">
        <v>0</v>
      </c>
      <c r="L275" s="5">
        <v>0</v>
      </c>
      <c r="M275" s="5">
        <v>-3.2295480000000001E-2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-2.5033179999999999E-2</v>
      </c>
      <c r="V275" s="5">
        <v>-2.4542319999999999E-2</v>
      </c>
      <c r="W275" s="5">
        <v>0</v>
      </c>
      <c r="X275" s="5">
        <v>2.2812499999999999E-2</v>
      </c>
      <c r="Y275" s="5">
        <v>-2.4178769999999999E-2</v>
      </c>
      <c r="Z275" s="5">
        <v>-2.345935E-2</v>
      </c>
      <c r="AA275" s="5">
        <v>0</v>
      </c>
      <c r="AB275" s="5">
        <v>0</v>
      </c>
      <c r="AD275" s="1">
        <f t="shared" si="4"/>
        <v>-2.4230108499999998</v>
      </c>
      <c r="AF275" s="7"/>
    </row>
    <row r="276" spans="1:32">
      <c r="A276" s="2" t="s">
        <v>286</v>
      </c>
      <c r="B276" s="5">
        <v>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D276" s="1">
        <f t="shared" si="4"/>
        <v>0</v>
      </c>
      <c r="AF276" s="7"/>
    </row>
    <row r="277" spans="1:32">
      <c r="A277" s="2" t="s">
        <v>287</v>
      </c>
      <c r="B277" s="5">
        <v>0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D277" s="1">
        <f t="shared" si="4"/>
        <v>0</v>
      </c>
      <c r="AF277" s="7"/>
    </row>
    <row r="278" spans="1:32">
      <c r="A278" s="2" t="s">
        <v>288</v>
      </c>
      <c r="B278" s="5">
        <v>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D278" s="1">
        <f t="shared" si="4"/>
        <v>0</v>
      </c>
      <c r="AF278" s="7"/>
    </row>
    <row r="279" spans="1:32">
      <c r="A279" s="2" t="s">
        <v>289</v>
      </c>
      <c r="B279" s="5">
        <v>0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D279" s="1">
        <f t="shared" si="4"/>
        <v>0</v>
      </c>
      <c r="AF279" s="7"/>
    </row>
    <row r="280" spans="1:32">
      <c r="A280" s="2" t="s">
        <v>290</v>
      </c>
      <c r="B280" s="5">
        <v>0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D280" s="1">
        <f t="shared" si="4"/>
        <v>0</v>
      </c>
      <c r="AF280" s="7"/>
    </row>
    <row r="281" spans="1:32">
      <c r="A281" s="2" t="s">
        <v>291</v>
      </c>
      <c r="B281" s="5">
        <v>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D281" s="1">
        <f t="shared" si="4"/>
        <v>0</v>
      </c>
      <c r="AF281" s="7"/>
    </row>
    <row r="282" spans="1:32">
      <c r="A282" s="2" t="s">
        <v>292</v>
      </c>
      <c r="B282" s="5">
        <v>0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  <c r="AD282" s="1">
        <f t="shared" si="4"/>
        <v>0</v>
      </c>
      <c r="AF282" s="7"/>
    </row>
    <row r="283" spans="1:32">
      <c r="A283" s="2" t="s">
        <v>293</v>
      </c>
      <c r="B283" s="5">
        <v>0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D283" s="1">
        <f t="shared" si="4"/>
        <v>0</v>
      </c>
      <c r="AF283" s="7"/>
    </row>
    <row r="284" spans="1:32">
      <c r="A284" s="2" t="s">
        <v>294</v>
      </c>
      <c r="B284" s="5">
        <v>0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2.6562499999999999E-2</v>
      </c>
      <c r="K284" s="5">
        <v>-2.25607E-2</v>
      </c>
      <c r="L284" s="5">
        <v>0</v>
      </c>
      <c r="M284" s="5">
        <v>0</v>
      </c>
      <c r="N284" s="5">
        <v>2.4687500000000001E-2</v>
      </c>
      <c r="O284" s="5">
        <v>0</v>
      </c>
      <c r="P284" s="5">
        <v>2.405063E-2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-3.065998E-2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D284" s="1">
        <f t="shared" si="4"/>
        <v>0.49946225000000005</v>
      </c>
      <c r="AF284" s="7"/>
    </row>
    <row r="285" spans="1:32">
      <c r="A285" s="2" t="s">
        <v>295</v>
      </c>
      <c r="B285" s="5">
        <v>0</v>
      </c>
      <c r="C285" s="5">
        <v>0</v>
      </c>
      <c r="D285" s="5">
        <v>-2.3847400000000001E-2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0</v>
      </c>
      <c r="AA285" s="5">
        <v>0</v>
      </c>
      <c r="AB285" s="5">
        <v>0</v>
      </c>
      <c r="AD285" s="1">
        <f t="shared" si="4"/>
        <v>-0.23847400000000002</v>
      </c>
      <c r="AF285" s="7"/>
    </row>
    <row r="286" spans="1:32">
      <c r="A286" s="2" t="s">
        <v>296</v>
      </c>
      <c r="B286" s="5">
        <v>0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D286" s="1">
        <f t="shared" si="4"/>
        <v>0</v>
      </c>
      <c r="AF286" s="7"/>
    </row>
    <row r="287" spans="1:32">
      <c r="A287" s="2" t="s">
        <v>297</v>
      </c>
      <c r="B287" s="5">
        <v>0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D287" s="1">
        <f t="shared" si="4"/>
        <v>0</v>
      </c>
      <c r="AF287" s="7"/>
    </row>
    <row r="288" spans="1:32">
      <c r="A288" s="2" t="s">
        <v>298</v>
      </c>
      <c r="B288" s="5">
        <v>0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0</v>
      </c>
      <c r="AA288" s="5">
        <v>0</v>
      </c>
      <c r="AB288" s="5">
        <v>0</v>
      </c>
      <c r="AD288" s="1">
        <f t="shared" si="4"/>
        <v>0</v>
      </c>
      <c r="AF288" s="7"/>
    </row>
    <row r="289" spans="1:32">
      <c r="A289" s="2" t="s">
        <v>299</v>
      </c>
      <c r="B289" s="5">
        <v>0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D289" s="1">
        <f t="shared" si="4"/>
        <v>0</v>
      </c>
      <c r="AF289" s="7"/>
    </row>
    <row r="290" spans="1:32">
      <c r="A290" s="2" t="s">
        <v>300</v>
      </c>
      <c r="B290" s="5">
        <v>0</v>
      </c>
      <c r="C290" s="5">
        <v>0</v>
      </c>
      <c r="D290" s="5">
        <v>0</v>
      </c>
      <c r="E290" s="5">
        <v>0</v>
      </c>
      <c r="F290" s="5">
        <v>2.4791669999999998E-2</v>
      </c>
      <c r="G290" s="5">
        <v>2.4791669999999998E-2</v>
      </c>
      <c r="H290" s="5">
        <v>0</v>
      </c>
      <c r="I290" s="5">
        <v>-2.428232E-2</v>
      </c>
      <c r="J290" s="5">
        <v>-3.0313360000000001E-2</v>
      </c>
      <c r="K290" s="5">
        <v>-3.6614910000000001E-2</v>
      </c>
      <c r="L290" s="5">
        <v>-3.9903139999999997E-2</v>
      </c>
      <c r="M290" s="5">
        <v>-2.316141E-2</v>
      </c>
      <c r="N290" s="5">
        <v>-2.5694519999999998E-2</v>
      </c>
      <c r="O290" s="5">
        <v>0</v>
      </c>
      <c r="P290" s="5">
        <v>-3.0213750000000001E-2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-2.5214719999999999E-2</v>
      </c>
      <c r="W290" s="5">
        <v>-2.168633E-2</v>
      </c>
      <c r="X290" s="5">
        <v>-3.763768E-2</v>
      </c>
      <c r="Y290" s="5">
        <v>0</v>
      </c>
      <c r="Z290" s="5">
        <v>-2.6102650000000002E-2</v>
      </c>
      <c r="AA290" s="5">
        <v>0</v>
      </c>
      <c r="AB290" s="5">
        <v>-2.5938309999999999E-2</v>
      </c>
      <c r="AD290" s="1">
        <f t="shared" si="4"/>
        <v>-1.6671289</v>
      </c>
      <c r="AF290" s="7"/>
    </row>
    <row r="291" spans="1:32">
      <c r="A291" s="2" t="s">
        <v>301</v>
      </c>
      <c r="B291" s="5">
        <v>0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2.8437500000000001E-2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2.4038460000000001E-2</v>
      </c>
      <c r="W291" s="5">
        <v>2.3376620000000001E-2</v>
      </c>
      <c r="X291" s="5">
        <v>0</v>
      </c>
      <c r="Y291" s="5">
        <v>0</v>
      </c>
      <c r="Z291" s="5">
        <v>2.2756410000000001E-2</v>
      </c>
      <c r="AA291" s="5">
        <v>0</v>
      </c>
      <c r="AB291" s="5">
        <v>0</v>
      </c>
      <c r="AD291" s="1">
        <f t="shared" si="4"/>
        <v>0.84721160000000006</v>
      </c>
      <c r="AF291" s="7"/>
    </row>
    <row r="292" spans="1:32">
      <c r="A292" s="2" t="s">
        <v>302</v>
      </c>
      <c r="B292" s="5">
        <v>0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2.34375E-2</v>
      </c>
      <c r="R292" s="5">
        <v>2.2812499999999999E-2</v>
      </c>
      <c r="S292" s="5">
        <v>2.34375E-2</v>
      </c>
      <c r="T292" s="5">
        <v>2.2187499999999999E-2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D292" s="1">
        <f t="shared" si="4"/>
        <v>1.72265625</v>
      </c>
      <c r="AF292" s="7"/>
    </row>
    <row r="293" spans="1:32">
      <c r="A293" s="2" t="s">
        <v>303</v>
      </c>
      <c r="B293" s="5">
        <v>-2.5406379999999999E-2</v>
      </c>
      <c r="C293" s="5">
        <v>-2.3373080000000001E-2</v>
      </c>
      <c r="D293" s="5">
        <v>-2.5039769999999999E-2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D293" s="1">
        <f t="shared" si="4"/>
        <v>-0.73819230000000002</v>
      </c>
      <c r="AF293" s="7"/>
    </row>
    <row r="294" spans="1:32">
      <c r="A294" s="2" t="s">
        <v>304</v>
      </c>
      <c r="B294" s="5">
        <v>0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0</v>
      </c>
      <c r="Z294" s="5">
        <v>0</v>
      </c>
      <c r="AA294" s="5">
        <v>0</v>
      </c>
      <c r="AB294" s="5">
        <v>0</v>
      </c>
      <c r="AD294" s="1">
        <f t="shared" si="4"/>
        <v>0</v>
      </c>
      <c r="AF294" s="7"/>
    </row>
    <row r="295" spans="1:32">
      <c r="A295" s="2" t="s">
        <v>305</v>
      </c>
      <c r="B295" s="5">
        <v>0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D295" s="1">
        <f t="shared" si="4"/>
        <v>0</v>
      </c>
      <c r="AF295" s="7"/>
    </row>
    <row r="296" spans="1:32">
      <c r="A296" s="2" t="s">
        <v>306</v>
      </c>
      <c r="B296" s="5">
        <v>0</v>
      </c>
      <c r="C296" s="5">
        <v>0</v>
      </c>
      <c r="D296" s="5">
        <v>-2.3449939999999999E-2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D296" s="1">
        <f t="shared" si="4"/>
        <v>-0.2344994</v>
      </c>
      <c r="AF296" s="7"/>
    </row>
    <row r="297" spans="1:32">
      <c r="A297" s="2" t="s">
        <v>307</v>
      </c>
      <c r="B297" s="5">
        <v>2.1755730000000001E-2</v>
      </c>
      <c r="C297" s="5">
        <v>2.5190839999999999E-2</v>
      </c>
      <c r="D297" s="5">
        <v>2.59542E-2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-2.6970020000000001E-2</v>
      </c>
      <c r="R297" s="5">
        <v>-2.70648E-2</v>
      </c>
      <c r="S297" s="5">
        <v>-2.6684630000000001E-2</v>
      </c>
      <c r="T297" s="5">
        <v>-2.4043599999999998E-2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  <c r="AD297" s="1">
        <f t="shared" si="4"/>
        <v>-1.2352994875000003</v>
      </c>
      <c r="AF297" s="7"/>
    </row>
    <row r="298" spans="1:32">
      <c r="A298" s="2" t="s">
        <v>308</v>
      </c>
      <c r="B298" s="5">
        <v>0</v>
      </c>
      <c r="C298" s="5">
        <v>0</v>
      </c>
      <c r="D298" s="5">
        <v>0</v>
      </c>
      <c r="E298" s="5">
        <v>0</v>
      </c>
      <c r="F298" s="5">
        <v>-1.9146449999999999E-2</v>
      </c>
      <c r="G298" s="5">
        <v>-2.069965E-2</v>
      </c>
      <c r="H298" s="5">
        <v>0</v>
      </c>
      <c r="I298" s="5">
        <v>-2.7435870000000001E-2</v>
      </c>
      <c r="J298" s="5">
        <v>-2.6401959999999999E-2</v>
      </c>
      <c r="K298" s="5">
        <v>-2.9217960000000001E-2</v>
      </c>
      <c r="L298" s="5">
        <v>-3.7484759999999999E-2</v>
      </c>
      <c r="M298" s="5">
        <v>-2.446628E-2</v>
      </c>
      <c r="N298" s="5">
        <v>-2.4324149999999999E-2</v>
      </c>
      <c r="O298" s="5">
        <v>-5.2523550000000002E-2</v>
      </c>
      <c r="P298" s="5">
        <v>-2.7467040000000002E-2</v>
      </c>
      <c r="Q298" s="5">
        <v>0</v>
      </c>
      <c r="R298" s="5">
        <v>0</v>
      </c>
      <c r="S298" s="5">
        <v>0</v>
      </c>
      <c r="T298" s="5">
        <v>0</v>
      </c>
      <c r="U298" s="5">
        <v>-1.9853900000000001E-2</v>
      </c>
      <c r="V298" s="5">
        <v>-3.1266250000000002E-2</v>
      </c>
      <c r="W298" s="5">
        <v>-2.6173160000000001E-2</v>
      </c>
      <c r="X298" s="5">
        <v>-3.6052929999999997E-2</v>
      </c>
      <c r="Y298" s="5">
        <v>-2.1334209999999999E-2</v>
      </c>
      <c r="Z298" s="5">
        <v>-3.0067610000000002E-2</v>
      </c>
      <c r="AA298" s="5">
        <v>0</v>
      </c>
      <c r="AB298" s="5">
        <v>-3.2001809999999999E-2</v>
      </c>
      <c r="AD298" s="1">
        <f t="shared" si="4"/>
        <v>-4.7770507499999999</v>
      </c>
      <c r="AF298" s="7"/>
    </row>
    <row r="299" spans="1:32">
      <c r="A299" s="2" t="s">
        <v>309</v>
      </c>
      <c r="B299" s="5">
        <v>0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D299" s="1">
        <f t="shared" si="4"/>
        <v>0</v>
      </c>
      <c r="AF299" s="7"/>
    </row>
    <row r="300" spans="1:32">
      <c r="A300" s="2" t="s">
        <v>310</v>
      </c>
      <c r="B300" s="5">
        <v>0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2.0937500000000001E-2</v>
      </c>
      <c r="N300" s="5">
        <v>1.96875E-2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0</v>
      </c>
      <c r="X300" s="5">
        <v>0</v>
      </c>
      <c r="Y300" s="5">
        <v>1.712963E-2</v>
      </c>
      <c r="Z300" s="5">
        <v>0</v>
      </c>
      <c r="AA300" s="5">
        <v>0</v>
      </c>
      <c r="AB300" s="5">
        <v>-2.3243420000000001E-2</v>
      </c>
      <c r="AD300" s="1">
        <f t="shared" si="4"/>
        <v>0.46132920000000005</v>
      </c>
      <c r="AF300" s="7"/>
    </row>
    <row r="301" spans="1:32">
      <c r="A301" s="2" t="s">
        <v>311</v>
      </c>
      <c r="B301" s="5">
        <v>0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I301" s="5">
        <v>1.96875E-2</v>
      </c>
      <c r="J301" s="5">
        <v>2.71875E-2</v>
      </c>
      <c r="K301" s="5">
        <v>2.34375E-2</v>
      </c>
      <c r="L301" s="5">
        <v>3.09375E-2</v>
      </c>
      <c r="M301" s="5">
        <v>0</v>
      </c>
      <c r="N301" s="5">
        <v>2.34375E-2</v>
      </c>
      <c r="O301" s="5">
        <v>0</v>
      </c>
      <c r="P301" s="5">
        <v>2.468354E-2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2.5961540000000002E-2</v>
      </c>
      <c r="W301" s="5">
        <v>0</v>
      </c>
      <c r="X301" s="5">
        <v>0</v>
      </c>
      <c r="Y301" s="5">
        <v>0</v>
      </c>
      <c r="Z301" s="5">
        <v>2.5961540000000002E-2</v>
      </c>
      <c r="AA301" s="5">
        <v>0</v>
      </c>
      <c r="AB301" s="5">
        <v>2.3397439999999999E-2</v>
      </c>
      <c r="AD301" s="1">
        <f t="shared" si="4"/>
        <v>2.0988184000000003</v>
      </c>
      <c r="AF301" s="7"/>
    </row>
    <row r="302" spans="1:32">
      <c r="A302" s="2" t="s">
        <v>312</v>
      </c>
      <c r="B302" s="5">
        <v>0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-2.0534859999999999E-2</v>
      </c>
      <c r="K302" s="5">
        <v>-2.3300399999999999E-2</v>
      </c>
      <c r="L302" s="5">
        <v>0</v>
      </c>
      <c r="M302" s="5">
        <v>0</v>
      </c>
      <c r="N302" s="5">
        <v>-2.5009340000000001E-2</v>
      </c>
      <c r="O302" s="5">
        <v>0</v>
      </c>
      <c r="P302" s="5">
        <v>0</v>
      </c>
      <c r="Q302" s="5">
        <v>0</v>
      </c>
      <c r="R302" s="5">
        <v>0</v>
      </c>
      <c r="S302" s="5">
        <v>2.0312500000000001E-2</v>
      </c>
      <c r="T302" s="5">
        <v>0</v>
      </c>
      <c r="U302" s="5">
        <v>0</v>
      </c>
      <c r="V302" s="5">
        <v>0</v>
      </c>
      <c r="W302" s="5">
        <v>-3.5146810000000001E-2</v>
      </c>
      <c r="X302" s="5">
        <v>-2.4959720000000001E-2</v>
      </c>
      <c r="Y302" s="5">
        <v>0</v>
      </c>
      <c r="Z302" s="5">
        <v>0</v>
      </c>
      <c r="AA302" s="5">
        <v>0</v>
      </c>
      <c r="AB302" s="5">
        <v>0</v>
      </c>
      <c r="AD302" s="1">
        <f t="shared" si="4"/>
        <v>-0.59429157499999996</v>
      </c>
      <c r="AF302" s="7"/>
    </row>
    <row r="303" spans="1:32">
      <c r="A303" s="2" t="s">
        <v>313</v>
      </c>
      <c r="B303" s="5">
        <v>0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1.9620249999999999E-2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0</v>
      </c>
      <c r="X303" s="5">
        <v>0</v>
      </c>
      <c r="Y303" s="5">
        <v>0</v>
      </c>
      <c r="Z303" s="5">
        <v>0</v>
      </c>
      <c r="AA303" s="5">
        <v>0</v>
      </c>
      <c r="AB303" s="5">
        <v>0</v>
      </c>
      <c r="AD303" s="1">
        <f t="shared" si="4"/>
        <v>9.8101250000000001E-2</v>
      </c>
      <c r="AF303" s="7"/>
    </row>
    <row r="304" spans="1:32">
      <c r="A304" s="2" t="s">
        <v>314</v>
      </c>
      <c r="B304" s="5">
        <v>0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D304" s="1">
        <f t="shared" si="4"/>
        <v>0</v>
      </c>
      <c r="AF304" s="7"/>
    </row>
    <row r="305" spans="1:32">
      <c r="A305" s="2" t="s">
        <v>315</v>
      </c>
      <c r="B305" s="5">
        <v>0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D305" s="1">
        <f t="shared" si="4"/>
        <v>0</v>
      </c>
      <c r="AF305" s="7"/>
    </row>
    <row r="306" spans="1:32">
      <c r="A306" s="2" t="s">
        <v>316</v>
      </c>
      <c r="B306" s="5">
        <v>0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0</v>
      </c>
      <c r="Z306" s="5">
        <v>0</v>
      </c>
      <c r="AA306" s="5">
        <v>0</v>
      </c>
      <c r="AB306" s="5">
        <v>0</v>
      </c>
      <c r="AD306" s="1">
        <f t="shared" si="4"/>
        <v>0</v>
      </c>
      <c r="AF306" s="7"/>
    </row>
    <row r="307" spans="1:32">
      <c r="A307" s="2" t="s">
        <v>317</v>
      </c>
      <c r="B307" s="5">
        <v>0</v>
      </c>
      <c r="C307" s="5">
        <v>0</v>
      </c>
      <c r="D307" s="5">
        <v>0</v>
      </c>
      <c r="E307" s="5">
        <v>0</v>
      </c>
      <c r="F307" s="5">
        <v>0</v>
      </c>
      <c r="G307" s="5">
        <v>-1.871248E-2</v>
      </c>
      <c r="H307" s="5">
        <v>-2.043681E-2</v>
      </c>
      <c r="I307" s="5">
        <v>0</v>
      </c>
      <c r="J307" s="5">
        <v>2.9687499999999999E-2</v>
      </c>
      <c r="K307" s="5">
        <v>0</v>
      </c>
      <c r="L307" s="5">
        <v>2.71875E-2</v>
      </c>
      <c r="M307" s="5">
        <v>1.90625E-2</v>
      </c>
      <c r="N307" s="5">
        <v>2.78125E-2</v>
      </c>
      <c r="O307" s="5">
        <v>0</v>
      </c>
      <c r="P307" s="5">
        <v>2.7848100000000001E-2</v>
      </c>
      <c r="Q307" s="5">
        <v>0</v>
      </c>
      <c r="R307" s="5">
        <v>0</v>
      </c>
      <c r="S307" s="5">
        <v>0</v>
      </c>
      <c r="T307" s="5">
        <v>0</v>
      </c>
      <c r="U307" s="5">
        <v>1.949153E-2</v>
      </c>
      <c r="V307" s="5">
        <v>0</v>
      </c>
      <c r="W307" s="5">
        <v>0</v>
      </c>
      <c r="X307" s="5">
        <v>0</v>
      </c>
      <c r="Y307" s="5">
        <v>2.546296E-2</v>
      </c>
      <c r="Z307" s="5">
        <v>2.0833330000000001E-2</v>
      </c>
      <c r="AA307" s="5">
        <v>0</v>
      </c>
      <c r="AB307" s="5">
        <v>0</v>
      </c>
      <c r="AD307" s="1">
        <f t="shared" si="4"/>
        <v>0.96584409999999998</v>
      </c>
      <c r="AF307" s="7"/>
    </row>
    <row r="308" spans="1:32">
      <c r="A308" s="2" t="s">
        <v>318</v>
      </c>
      <c r="B308" s="5">
        <v>0</v>
      </c>
      <c r="C308" s="5">
        <v>0</v>
      </c>
      <c r="D308" s="5">
        <v>0</v>
      </c>
      <c r="E308" s="5">
        <v>0</v>
      </c>
      <c r="F308" s="5">
        <v>0</v>
      </c>
      <c r="G308" s="5">
        <v>-2.036845E-2</v>
      </c>
      <c r="H308" s="5">
        <v>-1.9128849999999999E-2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D308" s="1">
        <f t="shared" si="4"/>
        <v>-0.98743249999999994</v>
      </c>
      <c r="AF308" s="7"/>
    </row>
    <row r="309" spans="1:32">
      <c r="A309" s="2" t="s">
        <v>319</v>
      </c>
      <c r="B309" s="5">
        <v>0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</v>
      </c>
      <c r="Z309" s="5">
        <v>0</v>
      </c>
      <c r="AA309" s="5">
        <v>0</v>
      </c>
      <c r="AB309" s="5">
        <v>0</v>
      </c>
      <c r="AD309" s="1">
        <f t="shared" si="4"/>
        <v>0</v>
      </c>
      <c r="AF309" s="7"/>
    </row>
    <row r="310" spans="1:32">
      <c r="A310" s="2" t="s">
        <v>320</v>
      </c>
      <c r="B310" s="5">
        <v>0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D310" s="1">
        <f t="shared" si="4"/>
        <v>0</v>
      </c>
      <c r="AF310" s="7"/>
    </row>
    <row r="311" spans="1:32">
      <c r="A311" s="2" t="s">
        <v>321</v>
      </c>
      <c r="B311" s="5">
        <v>0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D311" s="1">
        <f t="shared" si="4"/>
        <v>0</v>
      </c>
      <c r="AF311" s="7"/>
    </row>
    <row r="312" spans="1:32">
      <c r="A312" s="2" t="s">
        <v>322</v>
      </c>
      <c r="B312" s="5">
        <v>0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s="5">
        <v>0</v>
      </c>
      <c r="AD312" s="1">
        <f t="shared" si="4"/>
        <v>0</v>
      </c>
      <c r="AF312" s="7"/>
    </row>
    <row r="313" spans="1:32">
      <c r="A313" s="2" t="s">
        <v>323</v>
      </c>
      <c r="B313" s="5">
        <v>0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D313" s="1">
        <f t="shared" si="4"/>
        <v>0</v>
      </c>
      <c r="AF313" s="7"/>
    </row>
    <row r="314" spans="1:32">
      <c r="A314" s="2" t="s">
        <v>324</v>
      </c>
      <c r="B314" s="5">
        <v>0</v>
      </c>
      <c r="C314" s="5">
        <v>0</v>
      </c>
      <c r="D314" s="5">
        <v>0</v>
      </c>
      <c r="E314" s="5">
        <v>0</v>
      </c>
      <c r="F314" s="5">
        <v>2.1041669999999998E-2</v>
      </c>
      <c r="G314" s="5">
        <v>0</v>
      </c>
      <c r="H314" s="5">
        <v>2.7291670000000001E-2</v>
      </c>
      <c r="I314" s="5">
        <v>2.78125E-2</v>
      </c>
      <c r="J314" s="5">
        <v>0</v>
      </c>
      <c r="K314" s="5">
        <v>2.9062500000000002E-2</v>
      </c>
      <c r="L314" s="5">
        <v>2.0937500000000001E-2</v>
      </c>
      <c r="M314" s="5">
        <v>2.34375E-2</v>
      </c>
      <c r="N314" s="5">
        <v>2.0312500000000001E-2</v>
      </c>
      <c r="O314" s="5">
        <v>0</v>
      </c>
      <c r="P314" s="5">
        <v>0</v>
      </c>
      <c r="Q314" s="5">
        <v>0</v>
      </c>
      <c r="R314" s="5">
        <v>3.09375E-2</v>
      </c>
      <c r="S314" s="5">
        <v>0</v>
      </c>
      <c r="T314" s="5">
        <v>3.0312499999999999E-2</v>
      </c>
      <c r="U314" s="5">
        <v>2.5423729999999999E-2</v>
      </c>
      <c r="V314" s="5">
        <v>0</v>
      </c>
      <c r="W314" s="5">
        <v>3.1168830000000002E-2</v>
      </c>
      <c r="X314" s="5">
        <v>2.6562499999999999E-2</v>
      </c>
      <c r="Y314" s="5">
        <v>3.0092589999999999E-2</v>
      </c>
      <c r="Z314" s="5">
        <v>3.0448719999999999E-2</v>
      </c>
      <c r="AA314" s="5">
        <v>0</v>
      </c>
      <c r="AB314" s="5">
        <v>0</v>
      </c>
      <c r="AD314" s="1">
        <f t="shared" si="4"/>
        <v>4.7368842000000004</v>
      </c>
      <c r="AF314" s="7"/>
    </row>
    <row r="315" spans="1:32">
      <c r="A315" s="2" t="s">
        <v>325</v>
      </c>
      <c r="B315" s="5">
        <v>0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0</v>
      </c>
      <c r="Z315" s="5">
        <v>0</v>
      </c>
      <c r="AA315" s="5">
        <v>0</v>
      </c>
      <c r="AB315" s="5">
        <v>0</v>
      </c>
      <c r="AD315" s="1">
        <f t="shared" si="4"/>
        <v>0</v>
      </c>
      <c r="AF315" s="7"/>
    </row>
    <row r="316" spans="1:32">
      <c r="A316" s="2" t="s">
        <v>326</v>
      </c>
      <c r="B316" s="5">
        <v>0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D316" s="1">
        <f t="shared" si="4"/>
        <v>0</v>
      </c>
      <c r="AF316" s="7"/>
    </row>
    <row r="317" spans="1:32">
      <c r="A317" s="2" t="s">
        <v>327</v>
      </c>
      <c r="B317" s="5">
        <v>0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D317" s="1">
        <f t="shared" si="4"/>
        <v>0</v>
      </c>
      <c r="AF317" s="7"/>
    </row>
    <row r="318" spans="1:32">
      <c r="A318" s="2" t="s">
        <v>328</v>
      </c>
      <c r="B318" s="5">
        <v>-2.3131180000000001E-2</v>
      </c>
      <c r="C318" s="5">
        <v>-2.5228090000000002E-2</v>
      </c>
      <c r="D318" s="5">
        <v>-2.702705E-2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-2.6998870000000001E-2</v>
      </c>
      <c r="L318" s="5">
        <v>-3.8290890000000001E-2</v>
      </c>
      <c r="M318" s="5">
        <v>0</v>
      </c>
      <c r="N318" s="5">
        <v>0</v>
      </c>
      <c r="O318" s="5">
        <v>0</v>
      </c>
      <c r="P318" s="5">
        <v>0</v>
      </c>
      <c r="Q318" s="5">
        <v>1.90625E-2</v>
      </c>
      <c r="R318" s="5">
        <v>0</v>
      </c>
      <c r="S318" s="5">
        <v>0</v>
      </c>
      <c r="T318" s="5">
        <v>0</v>
      </c>
      <c r="U318" s="5">
        <v>0</v>
      </c>
      <c r="V318" s="5">
        <v>-2.1180359999999999E-2</v>
      </c>
      <c r="W318" s="5">
        <v>0</v>
      </c>
      <c r="X318" s="5">
        <v>-3.4468190000000003E-2</v>
      </c>
      <c r="Y318" s="5">
        <v>0</v>
      </c>
      <c r="Z318" s="5">
        <v>0</v>
      </c>
      <c r="AA318" s="5">
        <v>0</v>
      </c>
      <c r="AB318" s="5">
        <v>0</v>
      </c>
      <c r="AD318" s="1">
        <f t="shared" si="4"/>
        <v>-1.212936475</v>
      </c>
      <c r="AF318" s="7"/>
    </row>
    <row r="319" spans="1:32">
      <c r="A319" s="2" t="s">
        <v>329</v>
      </c>
      <c r="B319" s="5">
        <v>0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  <c r="AD319" s="1">
        <f t="shared" si="4"/>
        <v>0</v>
      </c>
      <c r="AF319" s="7"/>
    </row>
    <row r="320" spans="1:32">
      <c r="A320" s="2" t="s">
        <v>330</v>
      </c>
      <c r="B320" s="5">
        <v>0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I320" s="5">
        <v>-2.2390190000000001E-2</v>
      </c>
      <c r="J320" s="5">
        <v>-2.1838659999999999E-2</v>
      </c>
      <c r="K320" s="5">
        <v>0</v>
      </c>
      <c r="L320" s="5">
        <v>0</v>
      </c>
      <c r="M320" s="5">
        <v>-2.1856540000000001E-2</v>
      </c>
      <c r="N320" s="5">
        <v>0</v>
      </c>
      <c r="O320" s="5">
        <v>-4.470089E-2</v>
      </c>
      <c r="P320" s="5">
        <v>-3.15871E-2</v>
      </c>
      <c r="Q320" s="5">
        <v>0</v>
      </c>
      <c r="R320" s="5">
        <v>0</v>
      </c>
      <c r="S320" s="5">
        <v>-1.9532049999999999E-2</v>
      </c>
      <c r="T320" s="5">
        <v>0</v>
      </c>
      <c r="U320" s="5">
        <v>-3.2802100000000001E-2</v>
      </c>
      <c r="V320" s="5">
        <v>-2.3869930000000001E-2</v>
      </c>
      <c r="W320" s="5">
        <v>0</v>
      </c>
      <c r="X320" s="5">
        <v>0</v>
      </c>
      <c r="Y320" s="5">
        <v>-3.3660639999999999E-2</v>
      </c>
      <c r="Z320" s="5">
        <v>-2.808513E-2</v>
      </c>
      <c r="AA320" s="5">
        <v>-5.0920029999999998E-2</v>
      </c>
      <c r="AB320" s="5">
        <v>-2.526459E-2</v>
      </c>
      <c r="AD320" s="1">
        <f t="shared" si="4"/>
        <v>-3.4781252875000002</v>
      </c>
      <c r="AF320" s="7"/>
    </row>
    <row r="321" spans="1:32">
      <c r="A321" s="2" t="s">
        <v>331</v>
      </c>
      <c r="B321" s="5">
        <v>0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  <c r="AA321" s="5">
        <v>0</v>
      </c>
      <c r="AB321" s="5">
        <v>0</v>
      </c>
      <c r="AD321" s="1">
        <f t="shared" si="4"/>
        <v>0</v>
      </c>
      <c r="AF321" s="7"/>
    </row>
    <row r="322" spans="1:32">
      <c r="A322" s="2" t="s">
        <v>332</v>
      </c>
      <c r="B322" s="5">
        <v>0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D322" s="1">
        <f t="shared" si="4"/>
        <v>0</v>
      </c>
      <c r="AF322" s="7"/>
    </row>
    <row r="323" spans="1:32">
      <c r="A323" s="2" t="s">
        <v>333</v>
      </c>
      <c r="B323" s="5">
        <v>0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2.2812499999999999E-2</v>
      </c>
      <c r="R323" s="5">
        <v>0</v>
      </c>
      <c r="S323" s="5">
        <v>2.2812499999999999E-2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D323" s="1">
        <f t="shared" si="4"/>
        <v>0.85546875</v>
      </c>
      <c r="AF323" s="7"/>
    </row>
    <row r="324" spans="1:32">
      <c r="A324" s="2" t="s">
        <v>334</v>
      </c>
      <c r="B324" s="5">
        <v>0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0</v>
      </c>
      <c r="X324" s="5">
        <v>0</v>
      </c>
      <c r="Y324" s="5">
        <v>0</v>
      </c>
      <c r="Z324" s="5">
        <v>0</v>
      </c>
      <c r="AA324" s="5">
        <v>0</v>
      </c>
      <c r="AB324" s="5">
        <v>0</v>
      </c>
      <c r="AD324" s="1">
        <f t="shared" si="4"/>
        <v>0</v>
      </c>
      <c r="AF324" s="7"/>
    </row>
    <row r="325" spans="1:32">
      <c r="A325" s="2" t="s">
        <v>335</v>
      </c>
      <c r="B325" s="5">
        <v>0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D325" s="1">
        <f t="shared" ref="AD325:AD373" si="5">+SUMPRODUCT(B325:AB325,$B$1:$AB$1)</f>
        <v>0</v>
      </c>
      <c r="AF325" s="7"/>
    </row>
    <row r="326" spans="1:32">
      <c r="A326" s="2" t="s">
        <v>336</v>
      </c>
      <c r="B326" s="5">
        <v>0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D326" s="1">
        <f t="shared" si="5"/>
        <v>0</v>
      </c>
      <c r="AF326" s="7"/>
    </row>
    <row r="327" spans="1:32">
      <c r="A327" s="2" t="s">
        <v>337</v>
      </c>
      <c r="B327" s="5">
        <v>0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I327" s="5">
        <v>-2.5543739999999999E-2</v>
      </c>
      <c r="J327" s="5">
        <v>0</v>
      </c>
      <c r="K327" s="5">
        <v>0</v>
      </c>
      <c r="L327" s="5">
        <v>0</v>
      </c>
      <c r="M327" s="5">
        <v>-2.5771140000000001E-2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-2.2443540000000001E-2</v>
      </c>
      <c r="V327" s="5">
        <v>0</v>
      </c>
      <c r="W327" s="5">
        <v>0</v>
      </c>
      <c r="X327" s="5">
        <v>0</v>
      </c>
      <c r="Y327" s="5">
        <v>-2.2282389999999999E-2</v>
      </c>
      <c r="Z327" s="5">
        <v>0</v>
      </c>
      <c r="AA327" s="5">
        <v>-4.2837489999999999E-2</v>
      </c>
      <c r="AB327" s="5">
        <v>0</v>
      </c>
      <c r="AD327" s="1">
        <f t="shared" si="5"/>
        <v>-1.4145319500000002</v>
      </c>
      <c r="AF327" s="7"/>
    </row>
    <row r="328" spans="1:32">
      <c r="A328" s="2" t="s">
        <v>338</v>
      </c>
      <c r="B328" s="5">
        <v>0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D328" s="1">
        <f t="shared" si="5"/>
        <v>0</v>
      </c>
      <c r="AF328" s="7"/>
    </row>
    <row r="329" spans="1:32">
      <c r="A329" s="2" t="s">
        <v>339</v>
      </c>
      <c r="B329" s="5">
        <v>0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D329" s="1">
        <f t="shared" si="5"/>
        <v>0</v>
      </c>
      <c r="AF329" s="7"/>
    </row>
    <row r="330" spans="1:32">
      <c r="A330" s="2" t="s">
        <v>340</v>
      </c>
      <c r="B330" s="5">
        <v>0</v>
      </c>
      <c r="C330" s="5">
        <v>0</v>
      </c>
      <c r="D330" s="5">
        <v>0</v>
      </c>
      <c r="E330" s="5">
        <v>0</v>
      </c>
      <c r="F330" s="5">
        <v>2.770833E-2</v>
      </c>
      <c r="G330" s="5">
        <v>2.770833E-2</v>
      </c>
      <c r="H330" s="5">
        <v>2.5208330000000001E-2</v>
      </c>
      <c r="I330" s="5">
        <v>0</v>
      </c>
      <c r="J330" s="5">
        <v>0</v>
      </c>
      <c r="K330" s="5">
        <v>-2.404009E-2</v>
      </c>
      <c r="L330" s="5">
        <v>0</v>
      </c>
      <c r="M330" s="5">
        <v>0</v>
      </c>
      <c r="N330" s="5">
        <v>-3.0490840000000002E-2</v>
      </c>
      <c r="O330" s="5">
        <v>0</v>
      </c>
      <c r="P330" s="5">
        <v>0</v>
      </c>
      <c r="Q330" s="5">
        <v>3.09375E-2</v>
      </c>
      <c r="R330" s="5">
        <v>2.9062500000000002E-2</v>
      </c>
      <c r="S330" s="5">
        <v>3.09375E-2</v>
      </c>
      <c r="T330" s="5">
        <v>3.09375E-2</v>
      </c>
      <c r="U330" s="5">
        <v>0</v>
      </c>
      <c r="V330" s="5">
        <v>0</v>
      </c>
      <c r="W330" s="5">
        <v>-3.589461E-2</v>
      </c>
      <c r="X330" s="5">
        <v>0</v>
      </c>
      <c r="Y330" s="5">
        <v>0</v>
      </c>
      <c r="Z330" s="5">
        <v>0</v>
      </c>
      <c r="AA330" s="5">
        <v>0</v>
      </c>
      <c r="AB330" s="5">
        <v>0</v>
      </c>
      <c r="AD330" s="1">
        <f t="shared" si="5"/>
        <v>3.6961991000000003</v>
      </c>
      <c r="AF330" s="7"/>
    </row>
    <row r="331" spans="1:32">
      <c r="A331" s="2" t="s">
        <v>341</v>
      </c>
      <c r="B331" s="5">
        <v>0</v>
      </c>
      <c r="C331" s="5">
        <v>0</v>
      </c>
      <c r="D331" s="5">
        <v>0</v>
      </c>
      <c r="E331" s="5">
        <v>0</v>
      </c>
      <c r="F331" s="5">
        <v>0</v>
      </c>
      <c r="G331" s="5">
        <v>-1.672531E-2</v>
      </c>
      <c r="H331" s="5">
        <v>-1.651294E-2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D331" s="1">
        <f t="shared" si="5"/>
        <v>-0.83095625000000006</v>
      </c>
      <c r="AF331" s="7"/>
    </row>
    <row r="332" spans="1:32">
      <c r="A332" s="2" t="s">
        <v>342</v>
      </c>
      <c r="B332" s="5">
        <v>0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2.5312500000000002E-2</v>
      </c>
      <c r="R332" s="5">
        <v>0</v>
      </c>
      <c r="S332" s="5">
        <v>2.5937499999999999E-2</v>
      </c>
      <c r="T332" s="5">
        <v>0</v>
      </c>
      <c r="U332" s="5">
        <v>0</v>
      </c>
      <c r="V332" s="5">
        <v>0</v>
      </c>
      <c r="W332" s="5">
        <v>-3.1407789999999998E-2</v>
      </c>
      <c r="X332" s="5">
        <v>0</v>
      </c>
      <c r="Y332" s="5">
        <v>0</v>
      </c>
      <c r="Z332" s="5">
        <v>0</v>
      </c>
      <c r="AA332" s="5">
        <v>0</v>
      </c>
      <c r="AB332" s="5">
        <v>-2.0548529999999999E-2</v>
      </c>
      <c r="AD332" s="1">
        <f t="shared" si="5"/>
        <v>0.70115590000000005</v>
      </c>
      <c r="AF332" s="7"/>
    </row>
    <row r="333" spans="1:32">
      <c r="A333" s="2" t="s">
        <v>343</v>
      </c>
      <c r="B333" s="5">
        <v>0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-2.7053859999999999E-2</v>
      </c>
      <c r="K333" s="5">
        <v>0</v>
      </c>
      <c r="L333" s="5">
        <v>0</v>
      </c>
      <c r="M333" s="5">
        <v>0</v>
      </c>
      <c r="N333" s="5">
        <v>-2.9120460000000001E-2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0</v>
      </c>
      <c r="Z333" s="5">
        <v>-1.949439E-2</v>
      </c>
      <c r="AA333" s="5">
        <v>0</v>
      </c>
      <c r="AB333" s="5">
        <v>0</v>
      </c>
      <c r="AD333" s="1">
        <f t="shared" si="5"/>
        <v>-0.89195639999999998</v>
      </c>
      <c r="AF333" s="7"/>
    </row>
    <row r="334" spans="1:32">
      <c r="A334" s="2" t="s">
        <v>344</v>
      </c>
      <c r="B334" s="5">
        <v>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1.8910260000000002E-2</v>
      </c>
      <c r="AD334" s="1">
        <f t="shared" si="5"/>
        <v>9.4551300000000005E-2</v>
      </c>
      <c r="AF334" s="7"/>
    </row>
    <row r="335" spans="1:32">
      <c r="A335" s="2" t="s">
        <v>345</v>
      </c>
      <c r="B335" s="5">
        <v>0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-2.7076010000000001E-2</v>
      </c>
      <c r="N335" s="5">
        <v>-2.6379710000000001E-2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-2.8486029999999999E-2</v>
      </c>
      <c r="V335" s="5">
        <v>0</v>
      </c>
      <c r="W335" s="5">
        <v>-2.4677549999999999E-2</v>
      </c>
      <c r="X335" s="5">
        <v>0</v>
      </c>
      <c r="Y335" s="5">
        <v>-2.607514E-2</v>
      </c>
      <c r="Z335" s="5">
        <v>-2.412017E-2</v>
      </c>
      <c r="AA335" s="5">
        <v>5.0892859999999998E-2</v>
      </c>
      <c r="AB335" s="5">
        <v>0</v>
      </c>
      <c r="AD335" s="1">
        <f t="shared" si="5"/>
        <v>-1.3327241999999999</v>
      </c>
      <c r="AF335" s="7"/>
    </row>
    <row r="336" spans="1:32">
      <c r="A336" s="2" t="s">
        <v>346</v>
      </c>
      <c r="B336" s="5">
        <v>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I336" s="5">
        <v>2.0937500000000001E-2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2.1186440000000001E-2</v>
      </c>
      <c r="V336" s="5">
        <v>2.6602560000000001E-2</v>
      </c>
      <c r="W336" s="5">
        <v>0</v>
      </c>
      <c r="X336" s="5">
        <v>0</v>
      </c>
      <c r="Y336" s="5">
        <v>2.6388890000000002E-2</v>
      </c>
      <c r="Z336" s="5">
        <v>2.4038460000000001E-2</v>
      </c>
      <c r="AA336" s="5">
        <v>4.3749999999999997E-2</v>
      </c>
      <c r="AB336" s="5">
        <v>2.8525640000000001E-2</v>
      </c>
      <c r="AD336" s="1">
        <f t="shared" si="5"/>
        <v>1.8965492000000002</v>
      </c>
      <c r="AF336" s="7"/>
    </row>
    <row r="337" spans="1:32">
      <c r="A337" s="2" t="s">
        <v>347</v>
      </c>
      <c r="B337" s="5">
        <v>0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-1.9455839999999999E-2</v>
      </c>
      <c r="I337" s="5">
        <v>2.34375E-2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4.4943820000000002E-2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1.8644069999999999E-2</v>
      </c>
      <c r="V337" s="5">
        <v>0</v>
      </c>
      <c r="W337" s="5">
        <v>2.4025970000000001E-2</v>
      </c>
      <c r="X337" s="5">
        <v>0</v>
      </c>
      <c r="Y337" s="5">
        <v>1.990741E-2</v>
      </c>
      <c r="Z337" s="5">
        <v>0</v>
      </c>
      <c r="AA337" s="5">
        <v>0</v>
      </c>
      <c r="AB337" s="5">
        <v>0</v>
      </c>
      <c r="AD337" s="1">
        <f t="shared" si="5"/>
        <v>0.6887506000000001</v>
      </c>
      <c r="AF337" s="7"/>
    </row>
    <row r="338" spans="1:32">
      <c r="A338" s="2" t="s">
        <v>348</v>
      </c>
      <c r="B338" s="5">
        <v>0</v>
      </c>
      <c r="C338" s="5">
        <v>-2.1518079999999998E-2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D338" s="1">
        <f t="shared" si="5"/>
        <v>-0.21518079999999998</v>
      </c>
      <c r="AF338" s="7"/>
    </row>
    <row r="339" spans="1:32">
      <c r="A339" s="2" t="s">
        <v>349</v>
      </c>
      <c r="B339" s="5">
        <v>0</v>
      </c>
      <c r="C339" s="5">
        <v>0</v>
      </c>
      <c r="D339" s="5">
        <v>0</v>
      </c>
      <c r="E339" s="5">
        <v>0</v>
      </c>
      <c r="F339" s="5">
        <v>-2.3631200000000002E-2</v>
      </c>
      <c r="G339" s="5">
        <v>-2.235562E-2</v>
      </c>
      <c r="H339" s="5">
        <v>-1.8147880000000002E-2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2.2187499999999999E-2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  <c r="AD339" s="1">
        <f t="shared" si="5"/>
        <v>-1.1873518750000001</v>
      </c>
      <c r="AF339" s="7"/>
    </row>
    <row r="340" spans="1:32">
      <c r="A340" s="2" t="s">
        <v>350</v>
      </c>
      <c r="B340" s="5">
        <v>0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  <c r="AD340" s="1">
        <f t="shared" si="5"/>
        <v>0</v>
      </c>
      <c r="AF340" s="7"/>
    </row>
    <row r="341" spans="1:32">
      <c r="A341" s="2" t="s">
        <v>351</v>
      </c>
      <c r="B341" s="5">
        <v>-2.3889580000000001E-2</v>
      </c>
      <c r="C341" s="5">
        <v>-2.6712090000000001E-2</v>
      </c>
      <c r="D341" s="5">
        <v>-2.9014330000000001E-2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D341" s="1">
        <f t="shared" si="5"/>
        <v>-0.79615999999999998</v>
      </c>
      <c r="AF341" s="7"/>
    </row>
    <row r="342" spans="1:32">
      <c r="A342" s="2" t="s">
        <v>352</v>
      </c>
      <c r="B342" s="5">
        <v>0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  <c r="I342" s="5">
        <v>-2.6174449999999998E-2</v>
      </c>
      <c r="J342" s="5">
        <v>-3.0965260000000001E-2</v>
      </c>
      <c r="K342" s="5">
        <v>0</v>
      </c>
      <c r="L342" s="5">
        <v>0</v>
      </c>
      <c r="M342" s="5">
        <v>-2.250897E-2</v>
      </c>
      <c r="N342" s="5">
        <v>-3.1176019999999999E-2</v>
      </c>
      <c r="O342" s="5">
        <v>-5.1406029999999998E-2</v>
      </c>
      <c r="P342" s="5">
        <v>-2.815372E-2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-2.2525150000000001E-2</v>
      </c>
      <c r="W342" s="5">
        <v>0</v>
      </c>
      <c r="X342" s="5">
        <v>0</v>
      </c>
      <c r="Y342" s="5">
        <v>-1.7541459999999998E-2</v>
      </c>
      <c r="Z342" s="5">
        <v>-2.4781000000000001E-2</v>
      </c>
      <c r="AA342" s="5">
        <v>0</v>
      </c>
      <c r="AB342" s="5">
        <v>-2.9980639999999999E-2</v>
      </c>
      <c r="AD342" s="1">
        <f t="shared" si="5"/>
        <v>-2.7027493499999995</v>
      </c>
      <c r="AF342" s="7"/>
    </row>
    <row r="343" spans="1:32">
      <c r="A343" s="2" t="s">
        <v>353</v>
      </c>
      <c r="B343" s="5">
        <v>0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D343" s="1">
        <f t="shared" si="5"/>
        <v>0</v>
      </c>
      <c r="AF343" s="7"/>
    </row>
    <row r="344" spans="1:32">
      <c r="A344" s="2" t="s">
        <v>354</v>
      </c>
      <c r="B344" s="5">
        <v>0</v>
      </c>
      <c r="C344" s="5">
        <v>0</v>
      </c>
      <c r="D344" s="5">
        <v>0</v>
      </c>
      <c r="E344" s="5">
        <v>0</v>
      </c>
      <c r="F344" s="5">
        <v>-1.8111510000000001E-2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D344" s="1">
        <f t="shared" si="5"/>
        <v>-0.45278775000000004</v>
      </c>
      <c r="AF344" s="7"/>
    </row>
    <row r="345" spans="1:32">
      <c r="A345" s="2" t="s">
        <v>355</v>
      </c>
      <c r="B345" s="5">
        <v>0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D345" s="1">
        <f t="shared" si="5"/>
        <v>0</v>
      </c>
      <c r="AF345" s="7"/>
    </row>
    <row r="346" spans="1:32">
      <c r="A346" s="2" t="s">
        <v>356</v>
      </c>
      <c r="B346" s="5">
        <v>0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2.8541670000000002E-2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D346" s="1">
        <f t="shared" si="5"/>
        <v>0.71354175000000009</v>
      </c>
      <c r="AF346" s="7"/>
    </row>
    <row r="347" spans="1:32">
      <c r="A347" s="2" t="s">
        <v>357</v>
      </c>
      <c r="B347" s="5">
        <v>0</v>
      </c>
      <c r="C347" s="5">
        <v>0</v>
      </c>
      <c r="D347" s="5">
        <v>0</v>
      </c>
      <c r="E347" s="5">
        <v>0</v>
      </c>
      <c r="F347" s="5">
        <v>-2.328622E-2</v>
      </c>
      <c r="G347" s="5">
        <v>-2.2686810000000002E-2</v>
      </c>
      <c r="H347" s="5">
        <v>-2.272573E-2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-1.9816150000000001E-2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D347" s="1">
        <f t="shared" si="5"/>
        <v>-2.0890218125</v>
      </c>
      <c r="AF347" s="7"/>
    </row>
    <row r="348" spans="1:32">
      <c r="A348" s="2" t="s">
        <v>358</v>
      </c>
      <c r="B348" s="5">
        <v>0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s="5">
        <v>0</v>
      </c>
      <c r="AD348" s="1">
        <f t="shared" si="5"/>
        <v>0</v>
      </c>
      <c r="AF348" s="7"/>
    </row>
    <row r="349" spans="1:32">
      <c r="A349" s="2" t="s">
        <v>359</v>
      </c>
      <c r="B349" s="5">
        <v>0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-1.8252440000000002E-2</v>
      </c>
      <c r="R349" s="5">
        <v>-1.8694240000000001E-2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D349" s="1">
        <f t="shared" si="5"/>
        <v>-0.69275025000000001</v>
      </c>
      <c r="AF349" s="7"/>
    </row>
    <row r="350" spans="1:32">
      <c r="A350" s="2" t="s">
        <v>360</v>
      </c>
      <c r="B350" s="5">
        <v>0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D350" s="1">
        <f t="shared" si="5"/>
        <v>0</v>
      </c>
      <c r="AF350" s="7"/>
    </row>
    <row r="351" spans="1:32">
      <c r="A351" s="2" t="s">
        <v>361</v>
      </c>
      <c r="B351" s="5">
        <v>0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  <c r="AA351" s="5">
        <v>0</v>
      </c>
      <c r="AB351" s="5">
        <v>0</v>
      </c>
      <c r="AD351" s="1">
        <f t="shared" si="5"/>
        <v>0</v>
      </c>
      <c r="AF351" s="7"/>
    </row>
    <row r="352" spans="1:32">
      <c r="A352" s="2" t="s">
        <v>362</v>
      </c>
      <c r="B352" s="5">
        <v>2.2137400000000002E-2</v>
      </c>
      <c r="C352" s="5">
        <v>0</v>
      </c>
      <c r="D352" s="5">
        <v>0</v>
      </c>
      <c r="E352" s="5">
        <v>0</v>
      </c>
      <c r="F352" s="5">
        <v>-2.018139E-2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D352" s="1">
        <f t="shared" si="5"/>
        <v>-0.28316075000000002</v>
      </c>
      <c r="AF352" s="7"/>
    </row>
    <row r="353" spans="1:32">
      <c r="A353" s="2" t="s">
        <v>363</v>
      </c>
      <c r="B353" s="5">
        <v>0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D353" s="1">
        <f t="shared" si="5"/>
        <v>0</v>
      </c>
      <c r="AF353" s="7"/>
    </row>
    <row r="354" spans="1:32">
      <c r="A354" s="2" t="s">
        <v>364</v>
      </c>
      <c r="B354" s="5">
        <v>0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  <c r="AD354" s="1">
        <f t="shared" si="5"/>
        <v>0</v>
      </c>
      <c r="AF354" s="7"/>
    </row>
    <row r="355" spans="1:32">
      <c r="A355" s="2" t="s">
        <v>365</v>
      </c>
      <c r="B355" s="5">
        <v>0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D355" s="1">
        <f t="shared" si="5"/>
        <v>0</v>
      </c>
      <c r="AF355" s="7"/>
    </row>
    <row r="356" spans="1:32">
      <c r="A356" s="2" t="s">
        <v>366</v>
      </c>
      <c r="B356" s="5">
        <v>0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D356" s="1">
        <f t="shared" si="5"/>
        <v>0</v>
      </c>
      <c r="AF356" s="7"/>
    </row>
    <row r="357" spans="1:32">
      <c r="A357" s="4" t="s">
        <v>400</v>
      </c>
      <c r="B357" s="5">
        <v>0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0</v>
      </c>
      <c r="AD357" s="1">
        <f t="shared" si="5"/>
        <v>0</v>
      </c>
      <c r="AF357" s="7"/>
    </row>
    <row r="358" spans="1:32">
      <c r="A358" s="4" t="s">
        <v>401</v>
      </c>
      <c r="B358" s="5">
        <v>0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D358" s="1">
        <f t="shared" si="5"/>
        <v>0</v>
      </c>
      <c r="AF358" s="7"/>
    </row>
    <row r="359" spans="1:32">
      <c r="A359" s="4" t="s">
        <v>402</v>
      </c>
      <c r="B359" s="5">
        <v>2.7480919999999999E-2</v>
      </c>
      <c r="C359" s="5">
        <v>2.59542E-2</v>
      </c>
      <c r="D359" s="5">
        <v>2.366412E-2</v>
      </c>
      <c r="E359" s="5">
        <v>0</v>
      </c>
      <c r="F359" s="5">
        <v>0</v>
      </c>
      <c r="G359" s="5">
        <v>0</v>
      </c>
      <c r="H359" s="5">
        <v>0</v>
      </c>
      <c r="I359" s="5">
        <v>3.09375E-2</v>
      </c>
      <c r="J359" s="5">
        <v>3.09375E-2</v>
      </c>
      <c r="K359" s="5">
        <v>0</v>
      </c>
      <c r="L359" s="5">
        <v>0</v>
      </c>
      <c r="M359" s="5">
        <v>3.0312499999999999E-2</v>
      </c>
      <c r="N359" s="5">
        <v>3.09375E-2</v>
      </c>
      <c r="O359" s="5">
        <v>5.0561799999999997E-2</v>
      </c>
      <c r="P359" s="5">
        <v>2.5949369999999999E-2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2.9166669999999999E-2</v>
      </c>
      <c r="W359" s="5">
        <v>0</v>
      </c>
      <c r="X359" s="5">
        <v>0</v>
      </c>
      <c r="Y359" s="5">
        <v>0</v>
      </c>
      <c r="Z359" s="5">
        <v>2.7884619999999999E-2</v>
      </c>
      <c r="AA359" s="5">
        <v>0</v>
      </c>
      <c r="AB359" s="5">
        <v>2.7884619999999999E-2</v>
      </c>
      <c r="AD359" s="1">
        <f t="shared" si="5"/>
        <v>3.5499426000000005</v>
      </c>
      <c r="AF359" s="7"/>
    </row>
    <row r="360" spans="1:32">
      <c r="A360" s="4" t="s">
        <v>403</v>
      </c>
      <c r="B360" s="5">
        <v>0</v>
      </c>
      <c r="C360" s="5">
        <v>2.2137400000000002E-2</v>
      </c>
      <c r="D360" s="5">
        <v>2.3282440000000001E-2</v>
      </c>
      <c r="E360" s="5">
        <v>0</v>
      </c>
      <c r="F360" s="5">
        <v>0</v>
      </c>
      <c r="G360" s="5">
        <v>2.5208330000000001E-2</v>
      </c>
      <c r="H360" s="5">
        <v>2.8958330000000001E-2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D360" s="1">
        <f t="shared" si="5"/>
        <v>1.8083648999999999</v>
      </c>
      <c r="AF360" s="7"/>
    </row>
    <row r="361" spans="1:32">
      <c r="A361" s="4" t="s">
        <v>404</v>
      </c>
      <c r="B361" s="5">
        <v>-2.5785579999999999E-2</v>
      </c>
      <c r="C361" s="5">
        <v>-2.5970090000000001E-2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D361" s="1">
        <f t="shared" si="5"/>
        <v>-0.51755669999999998</v>
      </c>
      <c r="AF361" s="7"/>
    </row>
    <row r="362" spans="1:32">
      <c r="A362" s="4" t="s">
        <v>405</v>
      </c>
      <c r="B362" s="5">
        <v>0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D362" s="1">
        <f t="shared" si="5"/>
        <v>0</v>
      </c>
      <c r="AF362" s="7"/>
    </row>
    <row r="363" spans="1:32">
      <c r="A363" s="4" t="s">
        <v>406</v>
      </c>
      <c r="B363" s="5">
        <v>0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D363" s="1">
        <f t="shared" si="5"/>
        <v>0</v>
      </c>
      <c r="AF363" s="7"/>
    </row>
    <row r="364" spans="1:32">
      <c r="A364" s="4" t="s">
        <v>407</v>
      </c>
      <c r="B364" s="5">
        <v>2.8244269999999998E-2</v>
      </c>
      <c r="C364" s="5">
        <v>2.709924E-2</v>
      </c>
      <c r="D364" s="5">
        <v>2.5190839999999999E-2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D364" s="1">
        <f t="shared" si="5"/>
        <v>0.80534349999999999</v>
      </c>
      <c r="AF364" s="7"/>
    </row>
    <row r="365" spans="1:32">
      <c r="A365" s="4" t="s">
        <v>408</v>
      </c>
      <c r="B365" s="5">
        <v>0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D365" s="1">
        <f t="shared" si="5"/>
        <v>0</v>
      </c>
      <c r="AF365" s="7"/>
    </row>
    <row r="366" spans="1:32">
      <c r="A366" s="4" t="s">
        <v>409</v>
      </c>
      <c r="B366" s="5">
        <v>0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D366" s="1">
        <f t="shared" si="5"/>
        <v>0</v>
      </c>
      <c r="AF366" s="7"/>
    </row>
    <row r="367" spans="1:32">
      <c r="A367" s="4" t="s">
        <v>410</v>
      </c>
      <c r="B367" s="5">
        <v>0</v>
      </c>
      <c r="C367" s="5">
        <v>2.1374049999999999E-2</v>
      </c>
      <c r="D367" s="5">
        <v>2.1755730000000001E-2</v>
      </c>
      <c r="E367" s="5">
        <v>0</v>
      </c>
      <c r="F367" s="5">
        <v>0</v>
      </c>
      <c r="G367" s="5">
        <v>0</v>
      </c>
      <c r="H367" s="5">
        <v>-1.7820889999999999E-2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D367" s="1">
        <f t="shared" si="5"/>
        <v>-1.4224449999999944E-2</v>
      </c>
      <c r="AF367" s="7"/>
    </row>
    <row r="368" spans="1:32">
      <c r="A368" s="4" t="s">
        <v>411</v>
      </c>
      <c r="B368" s="5">
        <v>0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-2.4033659999999998E-2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D368" s="1">
        <f t="shared" si="5"/>
        <v>-0.12016829999999999</v>
      </c>
      <c r="AF368" s="7"/>
    </row>
    <row r="369" spans="1:32">
      <c r="A369" s="4" t="s">
        <v>412</v>
      </c>
      <c r="B369" s="5">
        <v>0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s="5">
        <v>0</v>
      </c>
      <c r="AD369" s="1">
        <f t="shared" si="5"/>
        <v>0</v>
      </c>
      <c r="AF369" s="7"/>
    </row>
    <row r="370" spans="1:32">
      <c r="A370" s="4" t="s">
        <v>413</v>
      </c>
      <c r="B370" s="5">
        <v>0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2.8125000000000001E-2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D370" s="1">
        <f t="shared" si="5"/>
        <v>0.703125</v>
      </c>
    </row>
    <row r="371" spans="1:32">
      <c r="A371" s="5" t="s">
        <v>422</v>
      </c>
      <c r="B371" s="5">
        <v>0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D371" s="1">
        <f t="shared" si="5"/>
        <v>0</v>
      </c>
    </row>
    <row r="372" spans="1:32">
      <c r="A372" s="5" t="s">
        <v>423</v>
      </c>
      <c r="B372" s="5">
        <v>0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D372" s="1">
        <f t="shared" si="5"/>
        <v>0</v>
      </c>
    </row>
    <row r="373" spans="1:32">
      <c r="A373" s="5" t="s">
        <v>424</v>
      </c>
      <c r="B373" s="5">
        <v>0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D373" s="1">
        <f t="shared" si="5"/>
        <v>0</v>
      </c>
    </row>
    <row r="402" spans="1:29">
      <c r="A402" t="s">
        <v>367</v>
      </c>
      <c r="B402" s="3">
        <f t="shared" ref="B402:E402" si="6">+COUNTIF(B$4:B$401,"&gt;0")</f>
        <v>20</v>
      </c>
      <c r="C402" s="3">
        <f t="shared" si="6"/>
        <v>20</v>
      </c>
      <c r="D402" s="3">
        <f t="shared" si="6"/>
        <v>20</v>
      </c>
      <c r="E402" s="3">
        <f t="shared" si="6"/>
        <v>0</v>
      </c>
      <c r="F402">
        <f>+COUNTIF(F$4:F$401,"&gt;0")</f>
        <v>20</v>
      </c>
      <c r="G402">
        <f t="shared" ref="G402:AB402" si="7">+COUNTIF(G$4:G$401,"&gt;0")</f>
        <v>20</v>
      </c>
      <c r="H402">
        <f t="shared" si="7"/>
        <v>20</v>
      </c>
      <c r="I402">
        <f t="shared" si="7"/>
        <v>20</v>
      </c>
      <c r="J402">
        <f t="shared" si="7"/>
        <v>20</v>
      </c>
      <c r="K402">
        <f t="shared" si="7"/>
        <v>20</v>
      </c>
      <c r="L402">
        <f t="shared" si="7"/>
        <v>20</v>
      </c>
      <c r="M402">
        <f t="shared" si="7"/>
        <v>20</v>
      </c>
      <c r="N402">
        <f t="shared" si="7"/>
        <v>20</v>
      </c>
      <c r="O402">
        <f t="shared" si="7"/>
        <v>10</v>
      </c>
      <c r="P402">
        <f t="shared" si="7"/>
        <v>20</v>
      </c>
      <c r="Q402">
        <f t="shared" si="7"/>
        <v>20</v>
      </c>
      <c r="R402">
        <f t="shared" si="7"/>
        <v>20</v>
      </c>
      <c r="S402">
        <f t="shared" si="7"/>
        <v>20</v>
      </c>
      <c r="T402">
        <f t="shared" si="7"/>
        <v>20</v>
      </c>
      <c r="U402" s="5">
        <f t="shared" si="7"/>
        <v>20</v>
      </c>
      <c r="V402" s="5">
        <f t="shared" si="7"/>
        <v>20</v>
      </c>
      <c r="W402" s="5">
        <f t="shared" si="7"/>
        <v>20</v>
      </c>
      <c r="X402" s="5">
        <f t="shared" si="7"/>
        <v>20</v>
      </c>
      <c r="Y402" s="5">
        <f t="shared" si="7"/>
        <v>20</v>
      </c>
      <c r="Z402" s="5">
        <f t="shared" si="7"/>
        <v>20</v>
      </c>
      <c r="AA402" s="5">
        <f t="shared" si="7"/>
        <v>10</v>
      </c>
      <c r="AB402" s="5">
        <f t="shared" si="7"/>
        <v>20</v>
      </c>
    </row>
    <row r="403" spans="1:29">
      <c r="A403" t="s">
        <v>368</v>
      </c>
      <c r="B403" s="3">
        <f t="shared" ref="B403:E403" si="8">+COUNTIF(B$4:B$401,"&lt;0")</f>
        <v>20</v>
      </c>
      <c r="C403" s="3">
        <f t="shared" si="8"/>
        <v>20</v>
      </c>
      <c r="D403" s="3">
        <f t="shared" si="8"/>
        <v>20</v>
      </c>
      <c r="E403" s="3">
        <f t="shared" si="8"/>
        <v>0</v>
      </c>
      <c r="F403">
        <f>+COUNTIF(F$4:F$401,"&lt;0")</f>
        <v>20</v>
      </c>
      <c r="G403">
        <f t="shared" ref="G403:AB403" si="9">+COUNTIF(G$4:G$401,"&lt;0")</f>
        <v>20</v>
      </c>
      <c r="H403">
        <f t="shared" si="9"/>
        <v>20</v>
      </c>
      <c r="I403">
        <f t="shared" si="9"/>
        <v>20</v>
      </c>
      <c r="J403">
        <f t="shared" si="9"/>
        <v>20</v>
      </c>
      <c r="K403">
        <f t="shared" si="9"/>
        <v>20</v>
      </c>
      <c r="L403">
        <f t="shared" si="9"/>
        <v>20</v>
      </c>
      <c r="M403">
        <f t="shared" si="9"/>
        <v>20</v>
      </c>
      <c r="N403">
        <f t="shared" si="9"/>
        <v>20</v>
      </c>
      <c r="O403">
        <f>+COUNTIF(O$4:O$401,"&lt;0")</f>
        <v>10</v>
      </c>
      <c r="P403">
        <f t="shared" si="9"/>
        <v>20</v>
      </c>
      <c r="Q403">
        <f t="shared" si="9"/>
        <v>20</v>
      </c>
      <c r="R403">
        <f t="shared" si="9"/>
        <v>20</v>
      </c>
      <c r="S403">
        <f t="shared" si="9"/>
        <v>20</v>
      </c>
      <c r="T403">
        <f t="shared" si="9"/>
        <v>20</v>
      </c>
      <c r="U403" s="5">
        <f t="shared" si="9"/>
        <v>20</v>
      </c>
      <c r="V403" s="5">
        <f t="shared" si="9"/>
        <v>20</v>
      </c>
      <c r="W403" s="5">
        <f t="shared" si="9"/>
        <v>20</v>
      </c>
      <c r="X403" s="5">
        <f t="shared" si="9"/>
        <v>20</v>
      </c>
      <c r="Y403" s="5">
        <f t="shared" si="9"/>
        <v>20</v>
      </c>
      <c r="Z403" s="5">
        <f t="shared" si="9"/>
        <v>20</v>
      </c>
      <c r="AA403" s="5">
        <f t="shared" si="9"/>
        <v>10</v>
      </c>
      <c r="AB403" s="5">
        <f t="shared" si="9"/>
        <v>20</v>
      </c>
      <c r="AC403" s="1"/>
    </row>
    <row r="404" spans="1:29">
      <c r="A404" t="s">
        <v>369</v>
      </c>
      <c r="B404" s="1">
        <f t="shared" ref="B404:E404" si="10">SUMIF(B$4:B$401,"&gt;0")</f>
        <v>0.49999999999999994</v>
      </c>
      <c r="C404" s="1">
        <f t="shared" si="10"/>
        <v>0.5</v>
      </c>
      <c r="D404" s="1">
        <f t="shared" si="10"/>
        <v>0.5</v>
      </c>
      <c r="E404" s="1">
        <f t="shared" si="10"/>
        <v>0</v>
      </c>
      <c r="F404" s="1">
        <f>SUMIF(F$4:F$401,"&gt;0")</f>
        <v>0.5</v>
      </c>
      <c r="G404" s="1">
        <f t="shared" ref="G404:AB404" si="11">SUMIF(G$4:G$401,"&gt;0")</f>
        <v>0.5</v>
      </c>
      <c r="H404" s="1">
        <f t="shared" si="11"/>
        <v>0.5</v>
      </c>
      <c r="I404" s="1">
        <f t="shared" si="11"/>
        <v>0.5</v>
      </c>
      <c r="J404" s="1">
        <f t="shared" si="11"/>
        <v>0.49999999999999994</v>
      </c>
      <c r="K404" s="1">
        <f t="shared" si="11"/>
        <v>0.49999999999999994</v>
      </c>
      <c r="L404" s="1">
        <f t="shared" si="11"/>
        <v>0.49999999999999994</v>
      </c>
      <c r="M404" s="1">
        <f t="shared" si="11"/>
        <v>0.5</v>
      </c>
      <c r="N404" s="1">
        <f t="shared" si="11"/>
        <v>0.5</v>
      </c>
      <c r="O404" s="1">
        <f t="shared" si="11"/>
        <v>0.50000000000000011</v>
      </c>
      <c r="P404" s="1">
        <f t="shared" si="11"/>
        <v>0.5</v>
      </c>
      <c r="Q404" s="1">
        <f t="shared" si="11"/>
        <v>0.5</v>
      </c>
      <c r="R404" s="1">
        <f t="shared" si="11"/>
        <v>0.5</v>
      </c>
      <c r="S404" s="1">
        <f t="shared" si="11"/>
        <v>0.5</v>
      </c>
      <c r="T404" s="1">
        <f t="shared" si="11"/>
        <v>0.5</v>
      </c>
      <c r="U404" s="1">
        <f t="shared" si="11"/>
        <v>0.5</v>
      </c>
      <c r="V404" s="1">
        <f t="shared" si="11"/>
        <v>0.49999999999999994</v>
      </c>
      <c r="W404" s="1">
        <f t="shared" si="11"/>
        <v>0.5</v>
      </c>
      <c r="X404" s="1">
        <f t="shared" si="11"/>
        <v>0.5</v>
      </c>
      <c r="Y404" s="1">
        <f t="shared" si="11"/>
        <v>0.5</v>
      </c>
      <c r="Z404" s="1">
        <f t="shared" si="11"/>
        <v>0.5</v>
      </c>
      <c r="AA404" s="1">
        <f t="shared" si="11"/>
        <v>0.5</v>
      </c>
      <c r="AB404" s="1">
        <f t="shared" si="11"/>
        <v>0.5</v>
      </c>
      <c r="AC404" s="1"/>
    </row>
    <row r="405" spans="1:29">
      <c r="A405" t="s">
        <v>370</v>
      </c>
      <c r="B405" s="1">
        <f t="shared" ref="B405:E405" si="12">SUMIF(B$4:B$401,"&lt;0")</f>
        <v>-0.49675160000000002</v>
      </c>
      <c r="C405" s="1">
        <f t="shared" si="12"/>
        <v>-0.48601170000000005</v>
      </c>
      <c r="D405" s="1">
        <f t="shared" si="12"/>
        <v>-0.52066816999999999</v>
      </c>
      <c r="E405" s="1">
        <f t="shared" si="12"/>
        <v>0</v>
      </c>
      <c r="F405" s="1">
        <f>SUMIF(F$4:F$401,"&lt;0")</f>
        <v>-0.41397727000000012</v>
      </c>
      <c r="G405" s="1">
        <f t="shared" ref="G405:AB405" si="13">SUMIF(G$4:G$401,"&lt;0")</f>
        <v>-0.39743319999999999</v>
      </c>
      <c r="H405" s="1">
        <f t="shared" si="13"/>
        <v>-0.39238666999999999</v>
      </c>
      <c r="I405" s="1">
        <f t="shared" si="13"/>
        <v>-0.50456769999999995</v>
      </c>
      <c r="J405" s="1">
        <f t="shared" si="13"/>
        <v>-0.52152019999999999</v>
      </c>
      <c r="K405" s="1">
        <f t="shared" si="13"/>
        <v>-0.59175610000000001</v>
      </c>
      <c r="L405" s="1">
        <f t="shared" si="13"/>
        <v>-0.64489915999999992</v>
      </c>
      <c r="M405" s="1">
        <f t="shared" si="13"/>
        <v>-0.52194721999999993</v>
      </c>
      <c r="N405" s="1">
        <f t="shared" si="13"/>
        <v>-0.54814984</v>
      </c>
      <c r="O405" s="1">
        <f t="shared" si="13"/>
        <v>-0.49729741999999999</v>
      </c>
      <c r="P405" s="1">
        <f t="shared" si="13"/>
        <v>-0.54247409999999996</v>
      </c>
      <c r="Q405" s="1">
        <f t="shared" si="13"/>
        <v>-0.43587912999999995</v>
      </c>
      <c r="R405" s="1">
        <f t="shared" si="13"/>
        <v>-0.44642961999999997</v>
      </c>
      <c r="S405" s="1">
        <f t="shared" si="13"/>
        <v>-0.44015880999999996</v>
      </c>
      <c r="T405" s="1">
        <f t="shared" si="13"/>
        <v>-0.42274457999999998</v>
      </c>
      <c r="U405" s="1">
        <f t="shared" si="13"/>
        <v>-0.50929570999999996</v>
      </c>
      <c r="V405" s="1">
        <f t="shared" si="13"/>
        <v>-0.52446608000000006</v>
      </c>
      <c r="W405" s="1">
        <f t="shared" si="13"/>
        <v>-0.57580942000000013</v>
      </c>
      <c r="X405" s="1">
        <f t="shared" si="13"/>
        <v>-0.63389775000000004</v>
      </c>
      <c r="Y405" s="1">
        <f t="shared" si="13"/>
        <v>-0.51202099000000001</v>
      </c>
      <c r="Z405" s="1">
        <f t="shared" si="13"/>
        <v>-0.5154447900000001</v>
      </c>
      <c r="AA405" s="1">
        <f t="shared" si="13"/>
        <v>-0.45262249000000004</v>
      </c>
      <c r="AB405" s="1">
        <f t="shared" si="13"/>
        <v>-0.52550337999999996</v>
      </c>
      <c r="AC405" s="1"/>
    </row>
    <row r="406" spans="1:29">
      <c r="A406" t="s">
        <v>371</v>
      </c>
      <c r="B406" s="1">
        <f t="shared" ref="B406:E406" si="14">+B404-B405</f>
        <v>0.99675159999999996</v>
      </c>
      <c r="C406" s="1">
        <f t="shared" si="14"/>
        <v>0.98601170000000005</v>
      </c>
      <c r="D406" s="1">
        <f t="shared" si="14"/>
        <v>1.02066817</v>
      </c>
      <c r="E406" s="1">
        <f t="shared" si="14"/>
        <v>0</v>
      </c>
      <c r="F406" s="1">
        <f>+F404-F405</f>
        <v>0.91397727000000017</v>
      </c>
      <c r="G406" s="1">
        <f t="shared" ref="G406:T406" si="15">+G404-G405</f>
        <v>0.89743320000000004</v>
      </c>
      <c r="H406" s="1">
        <f t="shared" si="15"/>
        <v>0.89238667000000005</v>
      </c>
      <c r="I406" s="1">
        <f t="shared" si="15"/>
        <v>1.0045677</v>
      </c>
      <c r="J406" s="1">
        <f t="shared" si="15"/>
        <v>1.0215201999999999</v>
      </c>
      <c r="K406" s="1">
        <f t="shared" si="15"/>
        <v>1.0917561</v>
      </c>
      <c r="L406" s="1">
        <f t="shared" si="15"/>
        <v>1.1448991599999998</v>
      </c>
      <c r="M406" s="1">
        <f t="shared" si="15"/>
        <v>1.0219472199999999</v>
      </c>
      <c r="N406" s="1">
        <f t="shared" si="15"/>
        <v>1.04814984</v>
      </c>
      <c r="O406" s="1">
        <f t="shared" si="15"/>
        <v>0.9972974200000001</v>
      </c>
      <c r="P406" s="1">
        <f t="shared" si="15"/>
        <v>1.0424741</v>
      </c>
      <c r="Q406" s="1">
        <f t="shared" si="15"/>
        <v>0.93587913</v>
      </c>
      <c r="R406" s="1">
        <f t="shared" si="15"/>
        <v>0.94642961999999997</v>
      </c>
      <c r="S406" s="1">
        <f t="shared" si="15"/>
        <v>0.94015881000000001</v>
      </c>
      <c r="T406" s="1">
        <f t="shared" si="15"/>
        <v>0.92274458000000004</v>
      </c>
      <c r="U406" s="1">
        <f t="shared" ref="U406:AB406" si="16">+U404-U405</f>
        <v>1.00929571</v>
      </c>
      <c r="V406" s="1">
        <f t="shared" si="16"/>
        <v>1.0244660800000001</v>
      </c>
      <c r="W406" s="1">
        <f t="shared" si="16"/>
        <v>1.0758094200000001</v>
      </c>
      <c r="X406" s="1">
        <f t="shared" si="16"/>
        <v>1.13389775</v>
      </c>
      <c r="Y406" s="1">
        <f t="shared" si="16"/>
        <v>1.0120209899999999</v>
      </c>
      <c r="Z406" s="1">
        <f t="shared" si="16"/>
        <v>1.0154447900000001</v>
      </c>
      <c r="AA406" s="1">
        <f t="shared" si="16"/>
        <v>0.95262248999999999</v>
      </c>
      <c r="AB406" s="1">
        <f t="shared" si="16"/>
        <v>1.02550338</v>
      </c>
      <c r="AC406" s="1"/>
    </row>
    <row r="407" spans="1:29">
      <c r="A407" t="s">
        <v>372</v>
      </c>
      <c r="B407" s="1">
        <f t="shared" ref="B407:E407" si="17">+B404+B405</f>
        <v>3.2483999999999291E-3</v>
      </c>
      <c r="C407" s="1">
        <f t="shared" si="17"/>
        <v>1.3988299999999954E-2</v>
      </c>
      <c r="D407" s="1">
        <f t="shared" si="17"/>
        <v>-2.0668169999999986E-2</v>
      </c>
      <c r="E407" s="1">
        <f t="shared" si="17"/>
        <v>0</v>
      </c>
      <c r="F407" s="1">
        <f>+F404+F405</f>
        <v>8.6022729999999881E-2</v>
      </c>
      <c r="G407" s="1">
        <f t="shared" ref="G407:T407" si="18">+G404+G405</f>
        <v>0.10256680000000001</v>
      </c>
      <c r="H407" s="1">
        <f t="shared" si="18"/>
        <v>0.10761333000000001</v>
      </c>
      <c r="I407" s="1">
        <f t="shared" si="18"/>
        <v>-4.5676999999999524E-3</v>
      </c>
      <c r="J407" s="1">
        <f t="shared" si="18"/>
        <v>-2.1520200000000045E-2</v>
      </c>
      <c r="K407" s="1">
        <f t="shared" si="18"/>
        <v>-9.1756100000000063E-2</v>
      </c>
      <c r="L407" s="1">
        <f t="shared" si="18"/>
        <v>-0.14489915999999997</v>
      </c>
      <c r="M407" s="1">
        <f t="shared" si="18"/>
        <v>-2.1947219999999934E-2</v>
      </c>
      <c r="N407" s="1">
        <f t="shared" si="18"/>
        <v>-4.8149839999999999E-2</v>
      </c>
      <c r="O407" s="1">
        <f t="shared" si="18"/>
        <v>2.702580000000121E-3</v>
      </c>
      <c r="P407" s="1">
        <f t="shared" si="18"/>
        <v>-4.2474099999999959E-2</v>
      </c>
      <c r="Q407" s="1">
        <f t="shared" si="18"/>
        <v>6.4120870000000052E-2</v>
      </c>
      <c r="R407" s="1">
        <f t="shared" si="18"/>
        <v>5.3570380000000029E-2</v>
      </c>
      <c r="S407" s="1">
        <f t="shared" si="18"/>
        <v>5.9841190000000044E-2</v>
      </c>
      <c r="T407" s="1">
        <f t="shared" si="18"/>
        <v>7.7255420000000019E-2</v>
      </c>
      <c r="U407" s="1">
        <f t="shared" ref="U407:AB407" si="19">+U404+U405</f>
        <v>-9.2957099999999571E-3</v>
      </c>
      <c r="V407" s="1">
        <f t="shared" si="19"/>
        <v>-2.4466080000000112E-2</v>
      </c>
      <c r="W407" s="1">
        <f t="shared" si="19"/>
        <v>-7.5809420000000127E-2</v>
      </c>
      <c r="X407" s="1">
        <f t="shared" si="19"/>
        <v>-0.13389775000000004</v>
      </c>
      <c r="Y407" s="1">
        <f t="shared" si="19"/>
        <v>-1.2020990000000009E-2</v>
      </c>
      <c r="Z407" s="1">
        <f t="shared" si="19"/>
        <v>-1.5444790000000097E-2</v>
      </c>
      <c r="AA407" s="1">
        <f t="shared" si="19"/>
        <v>4.7377509999999956E-2</v>
      </c>
      <c r="AB407" s="1">
        <f t="shared" si="19"/>
        <v>-2.5503379999999964E-2</v>
      </c>
    </row>
    <row r="409" spans="1:29">
      <c r="F409" t="s">
        <v>373</v>
      </c>
      <c r="G409" t="s">
        <v>374</v>
      </c>
      <c r="H409" t="s">
        <v>375</v>
      </c>
      <c r="I409" t="s">
        <v>376</v>
      </c>
      <c r="J409" t="s">
        <v>377</v>
      </c>
      <c r="K409" t="s">
        <v>378</v>
      </c>
      <c r="L409" t="s">
        <v>379</v>
      </c>
      <c r="M409" t="s">
        <v>380</v>
      </c>
      <c r="N409" t="s">
        <v>381</v>
      </c>
      <c r="O409" t="s">
        <v>382</v>
      </c>
      <c r="P409" t="s">
        <v>383</v>
      </c>
      <c r="Q409" t="s">
        <v>384</v>
      </c>
      <c r="R409" t="s">
        <v>385</v>
      </c>
      <c r="S409" t="s">
        <v>386</v>
      </c>
      <c r="T409" t="s">
        <v>387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 MN ALLOC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Verma - Global Markets</dc:creator>
  <cp:lastModifiedBy>VivekVerma</cp:lastModifiedBy>
  <dcterms:created xsi:type="dcterms:W3CDTF">2017-04-27T07:02:08Z</dcterms:created>
  <dcterms:modified xsi:type="dcterms:W3CDTF">2017-09-11T08:27:12Z</dcterms:modified>
</cp:coreProperties>
</file>